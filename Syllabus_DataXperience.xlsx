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universidadeaneduco-my.sharepoint.com/personal/csilva_universidadean_edu_co/Documents/Documentos/Cursos/Presenciales/DataXperience/"/>
    </mc:Choice>
  </mc:AlternateContent>
  <xr:revisionPtr revIDLastSave="0" documentId="8_{1FDC28B1-6CBB-47D1-808F-9C29E3904C37}" xr6:coauthVersionLast="47" xr6:coauthVersionMax="47" xr10:uidLastSave="{00000000-0000-0000-0000-000000000000}"/>
  <bookViews>
    <workbookView xWindow="3190" yWindow="0" windowWidth="16100" windowHeight="11370" tabRatio="500" xr2:uid="{00000000-000D-0000-FFFF-FFFF00000000}"/>
  </bookViews>
  <sheets>
    <sheet name="Syllabus DataXperience" sheetId="1" r:id="rId1"/>
    <sheet name="Plan clase a clase" sheetId="2" r:id="rId2"/>
    <sheet name="Rúbricas de evaluación" sheetId="3" r:id="rId3"/>
    <sheet name="Bibliografía y lecturas" sheetId="4" r:id="rId4"/>
    <sheet name="Biblioteca EAN" sheetId="5" r:id="rId5"/>
    <sheet name="Guía para el docente"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<sst xmlns="http://schemas.openxmlformats.org/spreadsheetml/2006/main" count="501" uniqueCount="459">
  <si>
    <t>FORMATO</t>
  </si>
  <si>
    <t>Versión:  1</t>
  </si>
  <si>
    <t>Código: IAC-201-f1</t>
  </si>
  <si>
    <t xml:space="preserve">SYLLABUS </t>
  </si>
  <si>
    <t>Fecha: 17/Feb/2026</t>
  </si>
  <si>
    <t>1.	Información General de la Unidad de Estudio</t>
  </si>
  <si>
    <t>Año</t>
  </si>
  <si>
    <t>Código Plan de estudios</t>
  </si>
  <si>
    <t>Código Unidad de Estudio</t>
  </si>
  <si>
    <t>IFP00553</t>
  </si>
  <si>
    <t>Tipo Unidad de estudio</t>
  </si>
  <si>
    <t>Nuclear</t>
  </si>
  <si>
    <t>Modalidad</t>
  </si>
  <si>
    <t>Presencial</t>
  </si>
  <si>
    <t>X</t>
  </si>
  <si>
    <t>Virtual</t>
  </si>
  <si>
    <t>Presencial y Virtual</t>
  </si>
  <si>
    <t xml:space="preserve">Nivel </t>
  </si>
  <si>
    <t>Pregrado</t>
  </si>
  <si>
    <t>Programas</t>
  </si>
  <si>
    <t>Nombre Unidad  de estudios</t>
  </si>
  <si>
    <t>DataXperience</t>
  </si>
  <si>
    <t>Créditos Académicos</t>
  </si>
  <si>
    <t>HAD</t>
  </si>
  <si>
    <t>HTA</t>
  </si>
  <si>
    <t>HT</t>
  </si>
  <si>
    <t>2.	Descripción  Resultados de Aprendizaje.</t>
  </si>
  <si>
    <t>Descripción de la unidad de estudio</t>
  </si>
  <si>
    <t>En el panorama digital actual, el análisis de datos se ha convertido en una estrategia fundamental para impulsar el crecimiento, la innovación y la toma de decisiones estratégicas. La ciencia de datos es un proceso integral que va desde la recolección de la información hasta su comunicación efectiva. Contar con la capacidad de transformar datos en información valiosa es esencial para resolver problemas complejos, generar valor y obtener una ventaja competitiva ya que busca tomar decisiones informadas basadas en evidencia. El análisis de datos, utilizando técnicas precisas y herramientas especializadas, permite descubrir patrones, tendencias y relaciones significativas en la información. Es así como, DataXperience busca el desarrollo de habilidades en ciencia de datos como una prioridad para ir a la vanguardia con avances y desarrollos tecnológicos, así como identificar áreas de baja eficiencia en procesos operativos, lo que permite reducir costos, mejorar la productividad y optimizar el uso de recursos.</t>
  </si>
  <si>
    <t>Resultado de Aprendizaje</t>
  </si>
  <si>
    <t>Desarrollar y llevar a cabo experimentos apropiados, analizar e interpretar datos y utilizar el juicio de ingeniería para sacar conclusiones.
Criterios de evaluación:
1. Determina fuentes de información y bases de datos de manera crítica identificando tendencias y relaciones significativas.
2. Utiliza de manera hábil herramientas específicas de análisis de datos como Python, R, Excel o bibliotecas de aprendizaje automático.
3. Evalúa hallazgos de manera rigurosa para proponer soluciones claras para la toma de decisiones basadas en evidencias.
4. Justifica resultados mediante gráficos y técnicas de diseño para generar una narrativa convincente alrededor de los datos analizados.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</si>
  <si>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</si>
  <si>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</si>
  <si>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</si>
  <si>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</si>
  <si>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</si>
  <si>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</si>
  <si>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</si>
  <si>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</si>
  <si>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</si>
  <si>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X — Unidad de CICLO (medio semestre): 9 semanas · 3 clases/semana · 2 h/clase · 27 sesiones (54 h presenciales). La semana 9 se dedica a entrega de proyectos, parcial y socialización de notas.
CORTE 1 (Sem. 1–3): Fundamentos de ciencia de datos y procesamiento inicial — qué es la ciencia de datos y su flujo de trabajo; herramientas clave (Python, R, Excel); tipos de datos y estructuras; fuentes de datos y web scraping; calidad de datos.
CORTE 2 (Sem. 3–9): Limpieza, visualización y comunicación de resultados — preparación, transformación y codificación de variables; limpieza paso a paso; análisis exploratorio (EDA); visualización, dashboards y storytelling; estadística básica, tendencias, correlaciones y patrones; evaluación de hallazgos; ética y claridad; presentación a públicos no expertos; casos reales interdisciplinarios; proyecto final (entrega y sustentación en semana 9).</t>
  </si>
  <si>
    <t>4.	Esquema de Calificación</t>
  </si>
  <si>
    <t>Evaluación en dos cortes con rúbricas por criterio (ver hoja "Rúbricas de evaluación"):
CORTE 1 (40%) — Fundamentos y procesamiento inicial (sem. 1–3): Parcial 20% (clase 7, sem. 3) · Talleres y tareas 10% · Exposiciones 10% (clase 6).
CORTE 2 (60%) — Limpieza, visualización y comunicación (sem. 3–9): Parcial 30% (clase 26, sem. 9) · Proyecto y trabajos 10% (plan en clase 22; entrega y sustentación en clase 25, sem. 9) · Talleres y tareas 10% · Exposiciones 10% (clase 20).
La semana 9 es de cierre: entrega y sustentación de proyectos (clase 25), parcial del segundo corte (clase 26) y socialización de notas (clase 27). El proyecto es transversal: desde la clase 4 cada equipo trabaja con un dataset propio.</t>
  </si>
  <si>
    <t>5. Recursos Tecnológicos (Describir los recursos como software, sala de cómputos, laboratorios)</t>
  </si>
  <si>
    <t>Aula virtual (LMS); Python (Anaconda, Google Colab, Jupyter); R / RStudio; Excel; Power BI y Tableau Public; GitHub; bases de datos especializadas de la biblioteca; sala de cómputo.</t>
  </si>
  <si>
    <t>6. Componente de Lengua extranjera</t>
  </si>
  <si>
    <t>Inglés</t>
  </si>
  <si>
    <t>Porcentaje</t>
  </si>
  <si>
    <t>7.	Bibliografía Obligatoria y Complementaria.</t>
  </si>
  <si>
    <t>Bibliografía Obligatoria</t>
  </si>
  <si>
    <t>Bibliografía Complementaria</t>
  </si>
  <si>
    <t>Yu, B., &amp; Barter, R. L. (2024). Veridical Data Science: The Practice of Responsible Data Analysis and Decision Making. MIT Press. [Acceso abierto: vdsbook.com]
McKinney, W. (2022). Python for Data Analysis (3.ª ed.). O'Reilly. [Acceso abierto: wesmckinney.com/book]
Bruce, P., Bruce, A., &amp; Gedeck, P. (2020). Practical Statistics for Data Scientists (2.ª ed.). O'Reilly.
Knaflic, C. N. (2017). Storytelling con datos: visualización de datos para profesionales de negocios. Anaya Multimedia.
García Herrero, J., Molina López, J. M., et al. (2018). Ciencia de datos: técnicas analíticas y aprendizaje estadístico en un enfoque práctico. Alfaomega.</t>
  </si>
  <si>
    <t>Libros: Wickham, Çetinkaya-Rundel &amp; Grolemund (2023). R for Data Science (2.ª ed.). O'Reilly [Acceso abierto] · James, Witten, Hastie, Tibshirani &amp; Taylor (2023). An Introduction to Statistical Learning with Applications in Python. Springer [Acceso abierto] · VanderPlas (2023). Python Data Science Handbook (2.ª ed.). O'Reilly [Acceso abierto] · Wilke (2019). Fundamentals of Data Visualization. O'Reilly [Acceso abierto] · Cairo (2019). How Charts Lie. W. W. Norton · Provost &amp; Fawcett (2013). Data Science for Business. O'Reilly · García, Luengo &amp; Herrera (2015). Data Preprocessing in Data Mining. Springer.
Artículos científicos (revisados por pares): Donoho (2017). 50 Years of Data Science. J. of Computational and Graphical Statistics · Wickham (2014). Tidy Data. J. of Statistical Software · Yu &amp; Kumbier (2020). Veridical data science. PNAS, 117(8) · Franconeri et al. (2021). The Science of Visual Data Communication. Psychological Science in the Public Interest, 22(3) · Emmanuel et al. (2021). A survey on missing data in machine learning. Journal of Big Data, 8.
Vía Biblioteca EAN (ScienceDirect / SpringerLink / Access Engineering / Ebook 7-24): Han, Pei &amp; Tong (2022). Data Mining: Concepts and Techniques (4.ª ed.). Morgan Kaufmann · Kotu &amp; Deshpande (2019). Data Science: Concepts and Practice (2.ª ed.). Morgan Kaufmann · Skiena (2017). The Data Science Design Manual. Springer · Kuhn &amp; Johnson (2013). Applied Predictive Modeling. Springer · Midway (2020). Principles of Effective Data Visualization. Patterns, 1(9) · Coronel, Morris &amp; Rob (2011); Elmasri &amp; Navathe (2007); Silberschatz et al. (2014) — bases de datos (colección física EAN) · Repositorio Minerva y Revista EAN (acceso abierto).
Bases de datos suscritas: Elsevier ScienceDirect, SpringerLink, Access Engineering, Ebook 7-24.</t>
  </si>
  <si>
    <t>8. Control de Cambios</t>
  </si>
  <si>
    <t># versión</t>
  </si>
  <si>
    <t>Fecha</t>
  </si>
  <si>
    <t>Elaboró</t>
  </si>
  <si>
    <t>Revisó</t>
  </si>
  <si>
    <t>Aprobó</t>
  </si>
  <si>
    <t>Descripción del cambio</t>
  </si>
  <si>
    <t>24/07/2024</t>
  </si>
  <si>
    <t>Johanna Karina Solano</t>
  </si>
  <si>
    <t>08/07/2026</t>
  </si>
  <si>
    <t>Actualización del syllabus al formato IAC-201-f1 v.1</t>
  </si>
  <si>
    <t>Actualización integral según planeación de ciclo (medio semestre): 9 semanas, 3 clases/semana de 2 h (27 sesiones), semana 9 de entrega de proyectos y notas; esquema 40/60 con rúbricas; bibliografía científica actualizada; plan clase a clase y guía docente; bibliografía disponible vía Biblioteca EAN por plataforma.</t>
  </si>
  <si>
    <t>DataXperience — Plan clase a clase | CICLO (medio semestre): 9 semanas · 3 clases/semana · 2 h/clase · 27 sesiones (54 h presenciales) · 90 h de trabajo autónomo (≈10 h/semana) | Corte 1: sem. 1–3 (40%) · Corte 2: sem. 3–9 (60%) | Semana 9: entrega de proyectos, parcial y notas</t>
  </si>
  <si>
    <t>Sem.</t>
  </si>
  <si>
    <t>Clase</t>
  </si>
  <si>
    <t>Tema (planeación)</t>
  </si>
  <si>
    <t>Desarrollo de la sesión (2 h)</t>
  </si>
  <si>
    <t>Trabajo autónomo (≈3 h por sesión)</t>
  </si>
  <si>
    <t>Evaluación</t>
  </si>
  <si>
    <t>Recursos y lecturas</t>
  </si>
  <si>
    <t>¿Qué es la ciencia de datos? - Flujo de trabajo en ciencia de datos</t>
  </si>
  <si>
    <t>Presentación del syllabus, cortes y rúbricas. Clase dialogada: ciclo de vida del dato con casos reales (retail, salud, banca). Actividad: identificar qué datos genera una organización conocida.</t>
  </si>
  <si>
    <t>Instalar Anaconda o crear cuenta en Google Colab. Lectura: García Herrero, cap. 1.</t>
  </si>
  <si>
    <t>Diagnóstico de conocimientos previos (no calificable).</t>
  </si>
  <si>
    <t>Kelleher &amp; Tierney (2018); Donoho (2017), "50 Years of Data Science" (acceso abierto, lectura en inglés).</t>
  </si>
  <si>
    <t>Herramientas clave: Python, R, Excel</t>
  </si>
  <si>
    <t>Demostración guiada: primer notebook en Colab (variables, listas, lectura de un CSV). Panorama comparativo: cuándo usar Excel, Python o R.</t>
  </si>
  <si>
    <t>Completar el notebook de ejercicios básicos de Python.</t>
  </si>
  <si>
    <t>Tarea corta 1 (talleres y tareas, corte 1).</t>
  </si>
  <si>
    <t>McKinney, caps. 1–2. Notebook plantilla.</t>
  </si>
  <si>
    <t>Tipos de datos y estructuras</t>
  </si>
  <si>
    <t>Práctica guiada con pandas: Series, DataFrames, tipos de variables (numéricas, categóricas, fechas, texto), filtros y agrupaciones.</t>
  </si>
  <si>
    <t>Replicar el análisis con un dataset de datos abiertos (datos.gov.co).</t>
  </si>
  <si>
    <t>Ejercicios en clase (participación).</t>
  </si>
  <si>
    <t>McKinney, cap. 5. Portal de datos abiertos.</t>
  </si>
  <si>
    <t>Fuentes de datos y web scraping</t>
  </si>
  <si>
    <t>Demostración: consumir una API pública y scraping básico de una tabla web. Discusión de ética, licencias y términos de uso.</t>
  </si>
  <si>
    <t>Elegir el dataset propio del curso (insumo del proyecto final) y diligenciar su ficha de descripción.</t>
  </si>
  <si>
    <t>Entrega de ficha del dataset (talleres y tareas, corte 1).</t>
  </si>
  <si>
    <t>APIs públicas (clima, finanzas, datos abiertos).</t>
  </si>
  <si>
    <t>Calidad de datos: problemas comunes</t>
  </si>
  <si>
    <t>Taller: diagnóstico de un dataset "sucio" entregado por el docente (tipos incorrectos, duplicados, valores imposibles, faltantes). Checklist de calidad.</t>
  </si>
  <si>
    <t>Aplicar el checklist de calidad al dataset propio y documentar hallazgos.</t>
  </si>
  <si>
    <t>Avance del taller de calidad (corte 1).</t>
  </si>
  <si>
    <t>Yu &amp; Barter (2024), cap. de limpieza de datos (acceso abierto: vdsbook.com); dataset "sucio" del aula virtual.</t>
  </si>
  <si>
    <t>Solución de dudas - Ejercicios varios</t>
  </si>
  <si>
    <t>Exposiciones cortas por equipos: hallazgos de calidad de su dataset (10%). Repaso general con banco de preguntas tipo parcial y ejercicios integradores.</t>
  </si>
  <si>
    <t>Estudiar para el parcial: repasar notebooks de las clases 1–5 y banco de preguntas.</t>
  </si>
  <si>
    <t>Exposiciones 10% (corte 1).</t>
  </si>
  <si>
    <t>Banco de preguntas en el aula virtual.</t>
  </si>
  <si>
    <t>Parcial primer corte</t>
  </si>
  <si>
    <t>Parcial individual práctico-teórico en computador: conceptos del flujo de ciencia de datos + ejercicio corto en Python/Excel sobre un dataset dado.</t>
  </si>
  <si>
    <t>Descanso activo: adelantar lectura de preparación de datos (García Herrero, cap. de preprocesamiento).</t>
  </si>
  <si>
    <t>PARCIAL 20% (corte 1).</t>
  </si>
  <si>
    <t>Guía del parcial publicada desde la clase 4.</t>
  </si>
  <si>
    <t>Socialización de notas primer corte</t>
  </si>
  <si>
    <t>Retroalimentación general y corrección comentada del parcial. Cierre de notas del corte 1 (40%). Presentación del corte 2 y del proyecto final.</t>
  </si>
  <si>
    <t>Plan personal de mejora: identificar 2 temas débiles y resolver ejercicios de refuerzo.</t>
  </si>
  <si>
    <t>Cierre del corte 1 (40%).</t>
  </si>
  <si>
    <t>Rúbricas de evaluación (hoja anexa).</t>
  </si>
  <si>
    <t>Preparación y transformación de datos</t>
  </si>
  <si>
    <t>Clase dialogada + práctica: principios de datos ordenados (tidy data), conversión de tipos, manejo de fechas y texto.</t>
  </si>
  <si>
    <t>Aplicar transformaciones iniciales al dataset propio.</t>
  </si>
  <si>
    <t>Ejercicio formativo.</t>
  </si>
  <si>
    <t>Wickham (2014), "Tidy Data", J. of Statistical Software (acceso abierto); McKinney, cap. 7.</t>
  </si>
  <si>
    <t>Procesamiento y codificación de variables</t>
  </si>
  <si>
    <t>Práctica guiada: codificación de variables categóricas (dummies), escalamiento min-max y z-score; cuándo aplicar cada técnica.</t>
  </si>
  <si>
    <t>Codificar y escalar las variables del dataset propio, justificando decisiones.</t>
  </si>
  <si>
    <t>Tarea corta 2 (talleres y tareas, corte 2).</t>
  </si>
  <si>
    <t>Documentación de scikit-learn (en inglés); ISLP — James et al. (2023), acceso abierto.</t>
  </si>
  <si>
    <t>Limpieza de datos paso a paso</t>
  </si>
  <si>
    <t>Taller central del curso: pipeline completo de limpieza con pandas (duplicados, inconsistencias, outliers con IQR, imputación de faltantes).</t>
  </si>
  <si>
    <t>Ejecutar el pipeline completo sobre el dataset propio y documentar cada decisión.</t>
  </si>
  <si>
    <t>Taller de limpieza (talleres y tareas, corte 2).</t>
  </si>
  <si>
    <t>García, Luengo &amp; Herrera (2015); Emmanuel et al. (2021), survey de datos faltantes, J. of Big Data (acceso abierto).</t>
  </si>
  <si>
    <t>Análisis exploratorio de datos (EDA)</t>
  </si>
  <si>
    <t>Práctica guiada: preguntas de análisis, estadística descriptiva, distribuciones y primeras visualizaciones sobre un caso real colombiano.</t>
  </si>
  <si>
    <t>Desarrollar el EDA del dataset propio: 3 preguntas de análisis con evidencia.</t>
  </si>
  <si>
    <t>Avance del proyecto (proyecto y trabajos, corte 2).</t>
  </si>
  <si>
    <t>McKinney, cap. 10; VanderPlas (complementaria).</t>
  </si>
  <si>
    <t>Técnicas de visualización de datos</t>
  </si>
  <si>
    <t>Principios de percepción y elección del gráfico según el mensaje. Práctica con matplotlib/seaborn: barras, líneas, dispersión, distribución.</t>
  </si>
  <si>
    <t>Construir 4 visualizaciones del dataset propio con títulos y etiquetas correctas.</t>
  </si>
  <si>
    <t>Wilke (2019), Fundamentals of Data Visualization (acceso abierto); Franconeri et al. (2021), PSPI.</t>
  </si>
  <si>
    <t>Visualización avanzada y dashboards</t>
  </si>
  <si>
    <t>Taller en Power BI (o Tableau Public): conexión de datos, medidas, filtros e interactividad. Construcción de un dashboard paso a paso.</t>
  </si>
  <si>
    <t>Iniciar el dashboard del proyecto final con el dataset propio.</t>
  </si>
  <si>
    <t>Avance del proyecto.</t>
  </si>
  <si>
    <t>Power BI Desktop / Tableau Public; tutoriales oficiales.</t>
  </si>
  <si>
    <t>Storytelling con datos</t>
  </si>
  <si>
    <t>Estructura narrativa: contexto, conflicto, resolución. Ejercicio: transformar un análisis técnico en una historia para una audiencia directiva.</t>
  </si>
  <si>
    <t>Redactar el mensaje clave y el guion narrativo preliminar del proyecto. Lectura: Knaflic, caps. 7–8.</t>
  </si>
  <si>
    <t>Knaflic; ejemplos de presentaciones ejecutivas.</t>
  </si>
  <si>
    <t>Estadística básica para el análisis</t>
  </si>
  <si>
    <t>Medidas de tendencia central y dispersión, distribuciones, percentiles; interpretación correcta en contexto. Práctica con el dataset del curso.</t>
  </si>
  <si>
    <t>Calcular e interpretar los estadísticos del dataset propio.</t>
  </si>
  <si>
    <t>Tarea corta 3 (talleres y tareas, corte 2).</t>
  </si>
  <si>
    <t>Bruce et al. (2020), caps. 1–2; Spiegelhalter (2019), El arte de la estadística.</t>
  </si>
  <si>
    <t>Tendencias, correlaciones y patrones</t>
  </si>
  <si>
    <t>Correlación (Pearson/Spearman), matrices de correlación y detección de patrones. Discusión: correlación no es causalidad (ejemplos engañosos).</t>
  </si>
  <si>
    <t>Construir la matriz de correlación del dataset propio e interpretar 3 relaciones.</t>
  </si>
  <si>
    <t>ISLP — James et al. (2023), cap. de correlación y regresión (acceso abierto).</t>
  </si>
  <si>
    <t>Evaluación de hallazgos</t>
  </si>
  <si>
    <t>Cómo pasar de resultados a conclusiones defendibles: rigor, limitaciones de los datos, recomendaciones accionables (criterio 3). Revisión entre pares de los EDA.</t>
  </si>
  <si>
    <t>Redactar las conclusiones y recomendaciones preliminares del proyecto.</t>
  </si>
  <si>
    <t>Avance del proyecto (retroalimentación entre pares).</t>
  </si>
  <si>
    <t>Yu &amp; Kumbier (2020), "Veridical data science", PNAS (acceso abierto).</t>
  </si>
  <si>
    <t>Visualizaciones efectivas: ética y claridad</t>
  </si>
  <si>
    <t>Análisis crítico de gráficos engañosos reales (ejes truncados, escalas, cherry-picking). Principios de accesibilidad y honestidad visual.</t>
  </si>
  <si>
    <t>Auditar las visualizaciones del propio proyecto con la lista de chequeo ética.</t>
  </si>
  <si>
    <t>Cairo (2019), How Charts Lie; lista de chequeo ética del aula virtual.</t>
  </si>
  <si>
    <t>Presentación de datos a públicos no expertos</t>
  </si>
  <si>
    <t>Exposiciones por equipos: presentar en 5 minutos un hallazgo de su proyecto a una "junta directiva" simulada (10%). Retroalimentación de pares y docente.</t>
  </si>
  <si>
    <t>Incorporar la retroalimentación a la narrativa del proyecto.</t>
  </si>
  <si>
    <t>Exposiciones 10% (corte 2).</t>
  </si>
  <si>
    <t>Rúbrica: criterio "Comunicación".</t>
  </si>
  <si>
    <t>Actividad transversal: casos reales interdisciplinarios</t>
  </si>
  <si>
    <t>Reto colaborativo: equipos interdisciplinarios resuelven en clase un caso con datos reales colombianos (movilidad, salud, ambiente) y presentan su solución exprés.</t>
  </si>
  <si>
    <t>Lectura: caso de negocio de analítica (bases de datos de la biblioteca, en inglés).</t>
  </si>
  <si>
    <t>Actividad transversal (talleres y tareas, corte 2).</t>
  </si>
  <si>
    <t>Datasets de datos.gov.co preparados por el docente.</t>
  </si>
  <si>
    <t>Proyecto final: diseño y planificación</t>
  </si>
  <si>
    <t>Asesoría estructurada: cada equipo define pregunta de análisis, alcance, plan de trabajo y reparto de roles. Validación del docente equipo por equipo.</t>
  </si>
  <si>
    <t>Ejecutar el plan: consolidar limpieza y EDA definitivos.</t>
  </si>
  <si>
    <t>Entrega del plan del proyecto (proyecto y trabajos).</t>
  </si>
  <si>
    <t>Plantilla de plan de proyecto.</t>
  </si>
  <si>
    <t>Proyecto final: ejecución técnica</t>
  </si>
  <si>
    <t>Sesión de trabajo tipo laboratorio: el docente rota por equipos resolviendo bloqueos técnicos (limpieza, EDA, dashboard).</t>
  </si>
  <si>
    <t>Finalizar el análisis técnico y el dashboard.</t>
  </si>
  <si>
    <t>Avance verificado en clase.</t>
  </si>
  <si>
    <t>Sala de cómputo / portátiles.</t>
  </si>
  <si>
    <t>Proyecto final: preparación de presentación</t>
  </si>
  <si>
    <t>Ensayo general: cada equipo presenta su borrador de storytelling; retroalimentación cruzada con la rúbrica de comunicación. Últimos ajustes técnicos con el docente.</t>
  </si>
  <si>
    <t>Finalizar entregables (notebook + dashboard + presentación) para la entrega y sustentación de la clase 25.</t>
  </si>
  <si>
    <t>Ensayo con retroalimentación formativa (rúbrica).</t>
  </si>
  <si>
    <t>Entrega y sustentación de proyectos finales · Solución de dudas</t>
  </si>
  <si>
    <t>Sustentaciones por equipos (8–10 min c/u) tipo storytelling ante el grupo, calificadas con rúbrica. Al cierre: solución de dudas y repaso exprés para el parcial con banco de preguntas.</t>
  </si>
  <si>
    <t>Estudiar para el parcial: notebooks de las clases 9–21 y simulacro del aula virtual.</t>
  </si>
  <si>
    <t>ENTREGA Y SUSTENTACIÓN DEL PROYECTO 10% (corte 2).</t>
  </si>
  <si>
    <t>Rúbricas de evaluación (hoja anexa); banco de preguntas del corte 2.</t>
  </si>
  <si>
    <t>Parcial segundo corte</t>
  </si>
  <si>
    <t>Parcial individual práctico en computador: limpieza, EDA, interpretación de correlaciones y elección de visualizaciones sobre un dataset nuevo.</t>
  </si>
  <si>
    <t>Autoevaluación y coevaluación del trabajo en equipo del proyecto.</t>
  </si>
  <si>
    <t>PARCIAL 30% (corte 2).</t>
  </si>
  <si>
    <t>Guía del parcial publicada desde la clase 22.</t>
  </si>
  <si>
    <t>Socialización de notas segundo corte</t>
  </si>
  <si>
    <t>Retroalimentación del parcial y de los proyectos. Publicación y socialización de notas del corte 2 (60%) y de la nota definitiva. Cierre del curso: reflexión sobre la ruta de aprendizaje en ciencia de datos.</t>
  </si>
  <si>
    <t>—</t>
  </si>
  <si>
    <t>Cierre del corte 2 (60%).</t>
  </si>
  <si>
    <t>Encuesta de evaluación del curso.</t>
  </si>
  <si>
    <t>Rúbricas de evaluación — DataXperience</t>
  </si>
  <si>
    <t>Criterio</t>
  </si>
  <si>
    <t>Descripción</t>
  </si>
  <si>
    <t>Nivel Destacado</t>
  </si>
  <si>
    <t>Nivel Competente</t>
  </si>
  <si>
    <t>Nivel Básico</t>
  </si>
  <si>
    <t>Nivel No competente</t>
  </si>
  <si>
    <t>CORTE 1 — Fundamentos y Procesamiento Inicial de Datos (40%)</t>
  </si>
  <si>
    <t>Fuentes y recolección</t>
  </si>
  <si>
    <t>Identifica fuentes de datos relevantes y recolecta datos de forma ética y efectiva</t>
  </si>
  <si>
    <t>Identifica múltiples fuentes confiables y aplica técnicas de recolección automatizadas</t>
  </si>
  <si>
    <t>Utiliza fuentes adecuadas y técnicas básicas de extracción</t>
  </si>
  <si>
    <t>Utiliza pocas fuentes con limitaciones técnicas</t>
  </si>
  <si>
    <t>No logra identificar o usar fuentes confiables</t>
  </si>
  <si>
    <t>Herramientas</t>
  </si>
  <si>
    <t>Utiliza herramientas de análisis de datos (Python, R, Excel) de manera hábil</t>
  </si>
  <si>
    <t>Aplica herramientas con autonomía y eficacia</t>
  </si>
  <si>
    <t>Usa herramientas con apoyo y de forma funcional</t>
  </si>
  <si>
    <t>Usa herramientas parcialmente o con errores</t>
  </si>
  <si>
    <t>No demuestra manejo de herramientas</t>
  </si>
  <si>
    <t>Preparación de datos</t>
  </si>
  <si>
    <t>Limpia y transforma los datos de manera estructurada</t>
  </si>
  <si>
    <t>Aplica técnicas de limpieza y transformación con precisión</t>
  </si>
  <si>
    <t>Aplica técnicas básicas con errores mínimos</t>
  </si>
  <si>
    <t>Realiza limpieza parcial con muchos errores</t>
  </si>
  <si>
    <t>No realiza limpieza adecuada</t>
  </si>
  <si>
    <t>CORTE 2 — Visualización, Análisis y Comunicación de Datos (60%)</t>
  </si>
  <si>
    <t>Análisis y hallazgos</t>
  </si>
  <si>
    <t>Analiza datos rigurosamente y propone soluciones informadas</t>
  </si>
  <si>
    <t>Establece relaciones significativas con evidencia sólida</t>
  </si>
  <si>
    <t>Interpreta patrones y tendencias con lógica clara</t>
  </si>
  <si>
    <t>Hace interpretaciones limitadas o confusas</t>
  </si>
  <si>
    <t>No identifica hallazgos relevantes</t>
  </si>
  <si>
    <t>Visualización</t>
  </si>
  <si>
    <t>Diseña visualizaciones claras y efectivas para distintos públicos</t>
  </si>
  <si>
    <t>Aplica técnicas de visualización variadas y éticas</t>
  </si>
  <si>
    <t>Usa gráficos adecuados pero con poca variedad</t>
  </si>
  <si>
    <t>Usa gráficos confusos o mal etiquetados</t>
  </si>
  <si>
    <t>No utiliza visualización o la usa erróneamente</t>
  </si>
  <si>
    <t>Comunicación</t>
  </si>
  <si>
    <t>Comunica resultados con claridad, estructura y storytelling</t>
  </si>
  <si>
    <t>Presenta narrativas impactantes y bien estructuradas</t>
  </si>
  <si>
    <t>Comunica con claridad y propósito</t>
  </si>
  <si>
    <t>Presentación poco clara o desorganizada</t>
  </si>
  <si>
    <t>No logra comunicar los resultados</t>
  </si>
  <si>
    <t>Bibliografía anotada — DataXperience (las filas verdes son de ACCESO ABIERTO legal: enlazar en el aula virtual)</t>
  </si>
  <si>
    <t>Referencia</t>
  </si>
  <si>
    <t>Tipo</t>
  </si>
  <si>
    <t>Acceso</t>
  </si>
  <si>
    <t>Clases donde se usa</t>
  </si>
  <si>
    <t>Por qué es valiosa</t>
  </si>
  <si>
    <t>Yu, B., &amp; Barter, R. L. (2024). Veridical Data Science: The Practice of Responsible Data Analysis and Decision Making. MIT Press.</t>
  </si>
  <si>
    <t>Libro (obligatorio)</t>
  </si>
  <si>
    <t>Acceso abierto:
https://www.vdsbook.com</t>
  </si>
  <si>
    <t>5, 9, 11, 18 y proyecto</t>
  </si>
  <si>
    <t>El texto más reciente y riguroso sobre el ciclo de vida del dato con datos "sucios" reales; marco PCS (predictibilidad, computabilidad, estabilidad) para resultados confiables. Código en R y Python.</t>
  </si>
  <si>
    <t>McKinney, W. (2022). Python for Data Analysis (3.ª ed.). O'Reilly.</t>
  </si>
  <si>
    <t>Acceso abierto:
https://wesmckinney.com/book</t>
  </si>
  <si>
    <t>2, 3, 9, 12</t>
  </si>
  <si>
    <t>Escrito por el creador de pandas; actualizado a pandas 2.x. La referencia técnica del curso para manipulación de datos en Python.</t>
  </si>
  <si>
    <t>Bruce, P., Bruce, A., &amp; Gedeck, P. (2020). Practical Statistics for Data Scientists (2.ª ed.). O'Reilly.</t>
  </si>
  <si>
    <t>Biblioteca / compra:
https://www.oreilly.com</t>
  </si>
  <si>
    <t>5, 16, 17</t>
  </si>
  <si>
    <t>Estadística aplicada con ejemplos en Python y R, centrada en evitar el mal uso de la estadística en ciencia de datos.</t>
  </si>
  <si>
    <t>Knaflic, C. N. (2017). Storytelling con datos. Anaya Multimedia.</t>
  </si>
  <si>
    <t>Biblioteca / compra:
https://www.storytellingwithdata.com</t>
  </si>
  <si>
    <t>13, 15, 16, 20, 24, 25</t>
  </si>
  <si>
    <t>El estándar práctico de narrativa con datos, disponible en español; guía directa para las exposiciones y el proyecto final.</t>
  </si>
  <si>
    <t>García Herrero, J., et al. (2018). Ciencia de datos: técnicas analíticas y aprendizaje estadístico en un enfoque práctico. Alfaomega.</t>
  </si>
  <si>
    <t>Biblioteca EAN:
https://universidadean.edu.co/catalogo-de-libros</t>
  </si>
  <si>
    <t>1, 4, 7 (lectura pre-parcial)</t>
  </si>
  <si>
    <t>Texto en español con enfoque práctico; puente accesible para estudiantes que inician.</t>
  </si>
  <si>
    <t>James, G., Witten, D., Hastie, T., Tibshirani, R., &amp; Taylor, J. (2023). An Introduction to Statistical Learning with Applications in Python (ISLP). Springer.</t>
  </si>
  <si>
    <t>Libro (complementario)</t>
  </si>
  <si>
    <t>Acceso abierto:
https://www.statlearning.com</t>
  </si>
  <si>
    <t>10, 17</t>
  </si>
  <si>
    <t>El texto más citado de aprendizaje estadístico, en su edición Python (2023); rigor matemático accesible para correlación, regresión y patrones.</t>
  </si>
  <si>
    <t>Wickham, H., Çetinkaya-Rundel, M., &amp; Grolemund, G. (2023). R for Data Science (2.ª ed.). O'Reilly.</t>
  </si>
  <si>
    <t>Acceso abierto:
https://r4ds.hadley.nz</t>
  </si>
  <si>
    <t>2, 3 (ruta R)</t>
  </si>
  <si>
    <t>Referencia estándar del tidyverse para estudiantes que elijan R.</t>
  </si>
  <si>
    <t>VanderPlas, J. (2023). Python Data Science Handbook (2.ª ed.). O'Reilly.</t>
  </si>
  <si>
    <t>Acceso abierto:
https://jakevdp.github.io/PythonDataScienceHandbook</t>
  </si>
  <si>
    <t>3, 12, 13</t>
  </si>
  <si>
    <t>Manual de NumPy, pandas, matplotlib y scikit-learn con notebooks ejecutables.</t>
  </si>
  <si>
    <t>Wilke, C. O. (2019). Fundamentals of Data Visualization. O'Reilly.</t>
  </si>
  <si>
    <t>Acceso abierto:
https://clauswilke.com/dataviz</t>
  </si>
  <si>
    <t>13, 14, 19</t>
  </si>
  <si>
    <t>Principios de visualización independientes de la herramienta, escritos por un científico; qué gráfico usar y por qué.</t>
  </si>
  <si>
    <t>Cairo, A. (2019). How Charts Lie. W. W. Norton. (Español: Cómo los gráficos mienten)</t>
  </si>
  <si>
    <t>Biblioteca / compra:
https://www.albertocairo.com</t>
  </si>
  <si>
    <t>19</t>
  </si>
  <si>
    <t>Base ideal de la clase de ética visual: cómo detectar y evitar gráficos engañosos.</t>
  </si>
  <si>
    <t>Provost, F., &amp; Fawcett, T. (2013). Data Science for Business. O'Reilly.</t>
  </si>
  <si>
    <t>Biblioteca:
https://data-science-for-biz.com</t>
  </si>
  <si>
    <t>1, 18, 21</t>
  </si>
  <si>
    <t>El puente clásico entre análisis y decisión de negocio; alinea el curso con la toma de decisiones basada en evidencia.</t>
  </si>
  <si>
    <t>García, S., Luengo, J., &amp; Herrera, F. (2015). Data Preprocessing in Data Mining. Springer.</t>
  </si>
  <si>
    <t>SpringerLink (biblioteca EAN):
https://doi.org/10.1007/978-3-319-10247-4</t>
  </si>
  <si>
    <t>10, 11</t>
  </si>
  <si>
    <t>Tratado académico de referencia en limpieza, imputación y transformación de datos.</t>
  </si>
  <si>
    <t>Donoho, D. (2017). 50 Years of Data Science. Journal of Computational and Graphical Statistics, 26(4), 745–766.</t>
  </si>
  <si>
    <t>Artículo revisado por pares</t>
  </si>
  <si>
    <t>Acceso abierto (DOI):
https://doi.org/10.1080/10618600.2017.1384734</t>
  </si>
  <si>
    <t>1 (discusión inicial)</t>
  </si>
  <si>
    <t>Artículo seminal que define qué es la ciencia de datos como disciplina; excelente para abrir el curso y para el componente en inglés.</t>
  </si>
  <si>
    <t>Wickham, H. (2014). Tidy Data. Journal of Statistical Software, 59(10).</t>
  </si>
  <si>
    <t>Acceso abierto (DOI):
https://doi.org/10.18637/jss.v059.i10</t>
  </si>
  <si>
    <t>9</t>
  </si>
  <si>
    <t>Formalizó el concepto de datos ordenados; fundamento científico directo de la preparación de datos.</t>
  </si>
  <si>
    <t>Yu, B., &amp; Kumbier, K. (2020). Veridical data science. PNAS, 117(8), 3920–3929.</t>
  </si>
  <si>
    <t>Acceso abierto (DOI):
https://doi.org/10.1073/pnas.1901326117</t>
  </si>
  <si>
    <t>18</t>
  </si>
  <si>
    <t>Publicado en PNAS; sustenta la "evaluación de hallazgos": cuándo un resultado es confiable y estable.</t>
  </si>
  <si>
    <t>Franconeri, S. L., Padilla, L. M., Shah, P., Zacks, J. M., &amp; Hullman, J. (2021). The Science of Visual Data Communication: What Works. Psychological Science in the Public Interest, 22(3), 110–161.</t>
  </si>
  <si>
    <t>Acceso abierto (DOI):
https://doi.org/10.1177/15291006211051956</t>
  </si>
  <si>
    <t>La revisión científica más completa sobre qué funciona en visualización según evidencia en percepción y cognición.</t>
  </si>
  <si>
    <t>Emmanuel, T., et al. (2021). A survey on missing data in machine learning. Journal of Big Data, 8, 140.</t>
  </si>
  <si>
    <t>Acceso abierto (DOI):
https://doi.org/10.1186/s40537-021-00516-0</t>
  </si>
  <si>
    <t>11</t>
  </si>
  <si>
    <t>Revisión sistemática reciente de mecanismos de datos faltantes (MCAR/MAR/MNAR) y métodos de imputación.</t>
  </si>
  <si>
    <t>O'Neil, C. (2016). Armas de destrucción matemática. Capitán Swing.</t>
  </si>
  <si>
    <t>Biblioteca / compra:
https://weaponsofmathdestructionbook.com</t>
  </si>
  <si>
    <t>4, 19, 21</t>
  </si>
  <si>
    <t>Discusión ética accesible sobre el impacto social de los modelos y los datos; disponible en español.</t>
  </si>
  <si>
    <t>Bibliografía disponible a través de la Biblioteca de la Universidad EAN — con enlaces de verificación. Acceso institucional: universidadean.edu.co/biblioteca → Catálogo / Recursos electrónicos (los enlaces a ScienceDirect, SpringerLink, Access Engineering y Ebook 7-24 piden login institucional; los DOI y sitios de autor abren directo).</t>
  </si>
  <si>
    <t>Plataforma / colección EAN</t>
  </si>
  <si>
    <t>Uso sugerido en el curso</t>
  </si>
  <si>
    <t>Enlace de verificación</t>
  </si>
  <si>
    <t>Notas</t>
  </si>
  <si>
    <t>COLECCIÓN FÍSICA EAN (títulos ya referenciados en el syllabus anterior de la unidad — buscar por título/autor en el catálogo)</t>
  </si>
  <si>
    <t>García Herrero, J., Molina López, J. M., et al. (2018). Ciencia de datos: técnicas analíticas y aprendizaje estadístico en un enfoque práctico. Alfaomega.</t>
  </si>
  <si>
    <t>Colección física / Ebook 7-24 (Alfaomega)</t>
  </si>
  <si>
    <t>Texto guía en español de todo el curso (clases 1, 4, 7).</t>
  </si>
  <si>
    <t>https://universidadean.edu.co/catalogo-de-libros</t>
  </si>
  <si>
    <t>Buscar: "ciencia de datos García Herrero".</t>
  </si>
  <si>
    <t>Colección física y SpringerLink</t>
  </si>
  <si>
    <t>Limpieza, imputación y transformación (clases 10–11).</t>
  </si>
  <si>
    <t>https://doi.org/10.1007/978-3-319-10247-4</t>
  </si>
  <si>
    <t>DOI citado en el syllabus original; texto completo vía SpringerLink.</t>
  </si>
  <si>
    <t>Joyanes Aguilar, L. (2019). Inteligencia de negocios y analítica de datos. Alfaomega.</t>
  </si>
  <si>
    <t>Dashboards y BI (clases 14, 21).</t>
  </si>
  <si>
    <t>Buscar: "inteligencia de negocios Joyanes".</t>
  </si>
  <si>
    <t>Daza Vergaray, A. (2017). Data mining: minería de datos. Marcombo.</t>
  </si>
  <si>
    <t>Colección física / Ebook 7-24 (Marcombo)</t>
  </si>
  <si>
    <t>Complemento de patrones y minería (clases 17–18).</t>
  </si>
  <si>
    <t>Buscar: "data mining Daza".</t>
  </si>
  <si>
    <t>Coronel, C., Morris, S., &amp; Rob, P. (2011). Bases de datos: diseño, implementación y administración (9.ª ed.). Cengage.</t>
  </si>
  <si>
    <t>Colección física</t>
  </si>
  <si>
    <t>Fuentes de datos y modelo relacional (clase 5: SQL).</t>
  </si>
  <si>
    <t>Buscar: "bases de datos Coronel".</t>
  </si>
  <si>
    <t>Elmasri, R., &amp; Navathe, S. B. (2007). Fundamentos de sistemas de bases de datos (5.ª ed.). Pearson.</t>
  </si>
  <si>
    <t>Consulta de bases de datos relacionales (clases 4–5).</t>
  </si>
  <si>
    <t>Buscar: "Elmasri Navathe".</t>
  </si>
  <si>
    <t>Silberschatz, A., Korth, H. F., &amp; Sudarshan, S. (2014). Fundamentos de bases de datos (6.ª ed.). McGraw-Hill.</t>
  </si>
  <si>
    <t>Colección física / Access Engineering</t>
  </si>
  <si>
    <t>Referencia alternativa de bases de datos (clases 4–5).</t>
  </si>
  <si>
    <t>https://www.db-book.com</t>
  </si>
  <si>
    <t>Sitio oficial del libro (ediciones en inglés y recursos).</t>
  </si>
  <si>
    <t>ELSEVIER SCIENCEDIRECT (suscripción EAN — abrir desde la red de la universidad o con login institucional)</t>
  </si>
  <si>
    <t>Han, J., Pei, J., &amp; Tong, H. (2022). Data Mining: Concepts and Techniques (4.ª ed.). Morgan Kaufmann.</t>
  </si>
  <si>
    <t>ScienceDirect (eBook)</t>
  </si>
  <si>
    <t>Preprocesamiento, EDA y patrones (clases 9–12, 17); caps. 1–2.</t>
  </si>
  <si>
    <t>https://www.sciencedirect.com/book/9780128117606/data-mining</t>
  </si>
  <si>
    <t>La referencia académica clásica de minería de datos.</t>
  </si>
  <si>
    <t>Kotu, V., &amp; Deshpande, B. (2019). Data Science: Concepts and Practice (2.ª ed.). Morgan Kaufmann.</t>
  </si>
  <si>
    <t>Panorama aplicado del flujo completo (clases 1, 22).</t>
  </si>
  <si>
    <t>https://www.sciencedirect.com/book/9780128147610/data-science</t>
  </si>
  <si>
    <t>Muy accesible para tercer semestre.</t>
  </si>
  <si>
    <t>Midway, S. R. (2020). Principles of Effective Data Visualization. Patterns, 1(9), 100141.</t>
  </si>
  <si>
    <t>ScienceDirect / Cell Press (ACCESO ABIERTO)</t>
  </si>
  <si>
    <t>Diez principios de visualización con evidencia (clases 13, 19).</t>
  </si>
  <si>
    <t>https://doi.org/10.1016/j.patter.2020.100141</t>
  </si>
  <si>
    <t>Abre sin login: es acceso abierto. Lectura en inglés (componente 30%).</t>
  </si>
  <si>
    <t>Revistas Elsevier: International Journal of Information Management; Decision Support Systems; Big Data Research.</t>
  </si>
  <si>
    <t>ScienceDirect (revistas)</t>
  </si>
  <si>
    <t>Casos recientes para la actividad transversal (clase 21) y el proyecto.</t>
  </si>
  <si>
    <t>https://www.sciencedirect.com</t>
  </si>
  <si>
    <t>Buscar: "data analytics", "business intelligence".</t>
  </si>
  <si>
    <t>SPRINGERLINK / SPRINGER EBOOKS (suscripción EAN)</t>
  </si>
  <si>
    <t>SpringerLink (eBook)</t>
  </si>
  <si>
    <t>Correlación, regresión y rigor estadístico (clases 16–17).</t>
  </si>
  <si>
    <t>https://www.statlearning.com</t>
  </si>
  <si>
    <t>PDF gratuito en el sitio oficial; también en SpringerLink.</t>
  </si>
  <si>
    <t>Skiena, S. S. (2017). The Data Science Design Manual. Springer.</t>
  </si>
  <si>
    <t>Diseño de proyectos de datos (clases 22–24).</t>
  </si>
  <si>
    <t>https://doi.org/10.1007/978-3-319-55444-0</t>
  </si>
  <si>
    <t>Texto universitario con ejercicios.</t>
  </si>
  <si>
    <t>Kuhn, M., &amp; Johnson, K. (2013). Applied Predictive Modeling. Springer.</t>
  </si>
  <si>
    <t>Preprocesamiento aplicado (clases 10–11, 18).</t>
  </si>
  <si>
    <t>https://doi.org/10.1007/978-1-4614-6849-3</t>
  </si>
  <si>
    <t>Estándar de preparación de datos para modelado.</t>
  </si>
  <si>
    <t>Hastie, T., Tibshirani, R., &amp; Friedman, J. (2009). The Elements of Statistical Learning (2.ª ed.). Springer.</t>
  </si>
  <si>
    <t>Profundización teórica (referencia del docente).</t>
  </si>
  <si>
    <t>https://hastie.su.domains/ElemStatLearn/</t>
  </si>
  <si>
    <t>PDF gratuito en la página de los autores (Stanford).</t>
  </si>
  <si>
    <t>Unpingco, J. (2022). Python for Probability, Statistics, and Machine Learning (3.ª ed.). Springer.</t>
  </si>
  <si>
    <t>Estadística con Python (clases 16–17).</t>
  </si>
  <si>
    <t>https://link.springer.com/book/10.1007/978-3-031-04648-3</t>
  </si>
  <si>
    <t>Código reproducible en Jupyter.</t>
  </si>
  <si>
    <t>SpringerOpen (ACCESO ABIERTO)</t>
  </si>
  <si>
    <t>Datos faltantes e imputación (clase 11).</t>
  </si>
  <si>
    <t>https://doi.org/10.1186/s40537-021-00516-0</t>
  </si>
  <si>
    <t>Abre sin login: revista de acceso abierto revisada por pares.</t>
  </si>
  <si>
    <t>ACCESS ENGINEERING — McGRAW-HILL (suscripción EAN)</t>
  </si>
  <si>
    <t>Spiegel, M. R., &amp; Stephens, L. J. (2018). Schaum's Outline of Statistics (6.ª ed.). McGraw-Hill.</t>
  </si>
  <si>
    <t>Access Engineering</t>
  </si>
  <si>
    <t>Ejercicios resueltos de estadística (refuerzo clases 16–17).</t>
  </si>
  <si>
    <t>https://www.accessengineeringlibrary.com</t>
  </si>
  <si>
    <t>En la plataforma, buscar: "Schaum's Outline of Statistics".</t>
  </si>
  <si>
    <t>Colección de handbooks de ingeniería y analítica de McGraw-Hill.</t>
  </si>
  <si>
    <t>Consulta puntual para casos de ingeniería (clase 21).</t>
  </si>
  <si>
    <t>Buscar: "data analytics", "statistics".</t>
  </si>
  <si>
    <t>EBOOK 7-24 (editoriales en español: Alfaomega, Marcombo, McGraw-Hill, Cengage, Pearson)</t>
  </si>
  <si>
    <t>Grus, J. Ciencia de datos desde cero: principios básicos con Python (2.ª ed.). Anaya Multimedia.</t>
  </si>
  <si>
    <t>Ebook 7-24 (verificar título)</t>
  </si>
  <si>
    <t>Fundamentos con Python en español (clases 2–3).</t>
  </si>
  <si>
    <t>https://www.ebooks7-24.com</t>
  </si>
  <si>
    <t>En la plataforma, buscar: "ciencia de datos desde cero".</t>
  </si>
  <si>
    <t>Narrativa y presentaciones (clases 15, 20, 24–25).</t>
  </si>
  <si>
    <t>https://www.storytellingwithdata.com</t>
  </si>
  <si>
    <t>Sitio oficial de la autora; verificar edición en español en Ebook 7-24.</t>
  </si>
  <si>
    <t>Torres, J. (2020). Python Deep Learning. Marcombo.</t>
  </si>
  <si>
    <t>Ebook 7-24 (Marcombo)</t>
  </si>
  <si>
    <t>Lectura opcional de profundización.</t>
  </si>
  <si>
    <t>https://www.marcombo.com</t>
  </si>
  <si>
    <t>Puente hacia machine learning tras el ciclo.</t>
  </si>
  <si>
    <t>RECURSOS DE ACCESO ABIERTO DE LA PROPIA EAN (abren sin login)</t>
  </si>
  <si>
    <t>Repositorio Institucional Minerva — trabajos de grado y producción científica EAN.</t>
  </si>
  <si>
    <t>Acceso abierto EAN</t>
  </si>
  <si>
    <t>Ejemplos reales de alcance para el proyecto final (clase 22).</t>
  </si>
  <si>
    <t>https://repository.universidadean.edu.co</t>
  </si>
  <si>
    <t>Buscar: "analítica de datos", "ciencia de datos", "visualización".</t>
  </si>
  <si>
    <t>Revista Escuela de Administración de Negocios (Revista EAN).</t>
  </si>
  <si>
    <t>Casos empresariales colombianos citables (clase 21).</t>
  </si>
  <si>
    <t>https://journal.universidadean.edu.co</t>
  </si>
  <si>
    <t>Revista arbitrada de la Universidad.</t>
  </si>
  <si>
    <t>Portal de la Biblioteca EAN — catálogo y recursos electrónicos.</t>
  </si>
  <si>
    <t>Punto de entrada</t>
  </si>
  <si>
    <t>Verificación de disponibilidad y enlaces permanentes de todo lo anterior.</t>
  </si>
  <si>
    <t>https://universidadean.edu.co/biblioteca</t>
  </si>
  <si>
    <t>Contacto del referencista: biblioteca@universidadean.edu.co.</t>
  </si>
  <si>
    <t>NOTA: los DOI y sitios de autor abren directamente y sirven para verificar la referencia; los enlaces a ScienceDirect, SpringerLink, Access Engineering y Ebook 7-24 muestran la ficha del recurso pero el texto completo requiere acceso institucional EAN (red del campus o login). Para publicar en el aula virtual, pedir al referencista los enlaces permanentes (proxy institucional) de cada título.</t>
  </si>
  <si>
    <t>GUÍA RÁPIDA PARA EL DOCENTE — DataXperience · Ciclo de 9 semanas (primera vez dictando el curso)</t>
  </si>
  <si>
    <t>1. Entienda el ritmo del ciclo antes de empezar</t>
  </si>
  <si>
    <t>• El curso es un CICLO (medio semestre): 9 semanas, 3 clases por semana de 2 h (27 sesiones, 54 h presenciales). Todo pasa rápido: el PRIMER PARCIAL es en la clase 7 (semana 3), avíselo desde el día 1.
• La SEMANA 9 es solo de cierre: entrega y sustentación de proyectos (clase 25), parcial del corte 2 (clase 26) y socialización de notas (clase 27). No programe contenido nuevo allí; el último tema se dicta en la semana 8.
• El corte 1 (40%) cubre las semanas 1–3; el corte 2 (60%) va de la semana 3 a la 9 e incluye el proyecto final.
• Los estudiantes tienen ≈10 h de trabajo autónomo semanal: asigne trabajo autónomo TODAS las clases o el curso se les acumula.
• Antes de iniciar: monte en el aula virtual el syllabus, el plan clase a clase, las rúbricas, la bibliografía de acceso abierto y la hoja "Biblioteca EAN" (títulos por plataforma: ScienceDirect, SpringerLink, Access Engineering, Ebook 7-24; pida al referencista los enlaces permanentes), el dataset "sucio" (clase 5) y los bancos de preguntas de ambos parciales.</t>
  </si>
  <si>
    <t>2. Estructura sugerida de cada sesión (2 horas)</t>
  </si>
  <si>
    <t>• 10 min — Apertura: repaso exprés de la clase anterior y 2–3 preguntas de la lectura (cuentan como participación).
• 35–40 min — Desarrollo conceptual dialogado con ejemplos reales.
• 55–60 min — Práctica guiada en software: el docente proyecta, los estudiantes replican y luego resuelven una variante en parejas.
• 10 min — Cierre: síntesis, conexión con el proyecto final y asignación del trabajo autónomo.</t>
  </si>
  <si>
    <t>3. Claves por corte</t>
  </si>
  <si>
    <t>• CORTE 1 (clases 1–8): nivele rápido al grupo; habrá estudiantes sin programación. Use Google Colab como estándar (solo requiere navegador) y trabajo en parejas heterogéneas. La clase 6 es su válvula de escape: dudas, exposiciones cortas (10%) y simulacro del parcial.
• CORTE 2 (clases 9–27): el hilo conductor es el proyecto final. Desde la clase 4 cada equipo trabaja con su propio dataset (valide la ficha: tamaño, variables, preguntas posibles) y lo reutiliza en limpieza (11), EDA (12), dashboard (14) y exposición (20). Así la semana 8 es de consolidación, no de arranque.
• Las clases 8 y 27 (socialización de notas) son obligatorias del calendario: úselas también para retroalimentación formativa, no solo para publicar notas.
• La clase 21 (actividad transversal) funciona mejor con 2–3 datasets colombianos ya preparados (movilidad, salud, ambiente) y equipos mezclados entre programas.</t>
  </si>
  <si>
    <t>4. Evaluación (resumen operativo)</t>
  </si>
  <si>
    <t>• CORTE 1 — 40% (cierra clase 8): Parcial 20% (clase 7) + Talleres y tareas 10% (tareas cortas 1–2 y taller de calidad) + Exposiciones 10% (clase 6).
• CORTE 2 — 60% (cierra clase 27): Parcial 30% (clase 26) + Proyecto y trabajos 10% (plan en clase 22 + ENTREGA Y SUSTENTACIÓN en clase 25) + Talleres y tareas 10% (taller de limpieza, tarea 3, actividad transversal) + Exposiciones 10% (clase 20).
• Semana 9 en la práctica: lunes (clase 25) sustentaciones de proyecto; miércoles (clase 26) parcial; viernes (clase 27) socialización de notas y cierre. Deje las rúbricas diligenciadas el mismo lunes para poder cerrar notas el viernes.
• Califique SIEMPRE con las rúbricas de la hoja anexa (4 niveles por criterio): dan objetividad y aceleran la retroalimentación.
• Componente de lengua extranjera (30% de las actividades): use los 5 artículos científicos en inglés de la hoja "Bibliografía y lecturas" (Donoho, Wickham, Yu &amp; Kumbier, Franconeri, Emmanuel), todos de acceso abierto.</t>
  </si>
  <si>
    <t>5. Dificultades frecuentes y cómo anticiparlas</t>
  </si>
  <si>
    <t>• Parcial 1 demasiado pronto: publique la guía del parcial desde la clase 4 y use la clase 6 como simulacro.
• Problemas de instalación: Google Colab como plan B universal; no pierda sesiones completas instalando software.
• Datasets sin potencial: valide la ficha del dataset en la clase 4–5, antes de que los equipos avancen sobre datos inservibles.
• Brecha de programación: parejas heterogéneas en talleres y ejercicios opcionales de refuerzo en el aula virtual.
• Uso de IA generativa: permítala como apoyo declarado (explicar y depurar código); evalúe con parciales prácticos presenciales y exposiciones orales, que son individuales e insustituibles.
• Ausencias en ciclo: con solo 27 sesiones, cada falta pesa; publique los notebooks de cada clase el mismo día.</t>
  </si>
  <si>
    <t>PFPICDBOG002</t>
  </si>
  <si>
    <t>Todas las Ingenierías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</si>
</sst>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charset val="1"/>
    </font>
    <font>
      <sz val="10"/>
      <color theme="1"/>
      <name val="Calibri"/>
      <family val="2"/>
      <charset val="1"/>
    </font>
    <font>
      <b/>
      <sz val="10"/>
      <color theme="1"/>
      <name val="Arial Narrow"/>
      <family val="2"/>
      <charset val="1"/>
    </font>
    <font>
      <b/>
      <sz val="11"/>
      <color rgb="FF3D7357"/>
      <name val="Arial Narrow"/>
      <family val="2"/>
      <charset val="1"/>
    </font>
    <font>
      <b/>
      <sz val="11"/>
      <color theme="1"/>
      <name val="Calibri"/>
      <family val="2"/>
      <charset val="1"/>
    </font>
    <font>
      <sz val="11"/>
      <name val="Calibri"/>
      <charset val="1"/>
    </font>
    <font>
      <b/>
      <sz val="11"/>
      <color rgb="FFFFFFFF"/>
      <name val="Arial"/>
      <charset val="1"/>
    </font>
    <font>
      <b/>
      <sz val="10"/>
      <color rgb="FFFFFFFF"/>
      <name val="Arial"/>
      <charset val="1"/>
    </font>
    <font>
      <b/>
      <sz val="9"/>
      <name val="Arial"/>
      <charset val="1"/>
    </font>
    <font>
      <sz val="9"/>
      <name val="Arial"/>
      <charset val="1"/>
    </font>
    <font>
      <b/>
      <sz val="12"/>
      <color rgb="FFFFFFFF"/>
      <name val="Arial"/>
      <charset val="1"/>
    </font>
    <font>
      <b/>
      <sz val="10"/>
      <name val="Arial"/>
      <charset val="1"/>
    </font>
    <font>
      <u/>
      <sz val="9"/>
      <color rgb="FF0563C1"/>
      <name val="Arial"/>
      <charset val="1"/>
    </font>
    <font>
      <b/>
      <sz val="9"/>
      <color rgb="FF000000"/>
      <name val="Arial"/>
      <charset val="1"/>
    </font>
    <font>
      <sz val="9"/>
      <color rgb="FF000000"/>
      <name val="Arial"/>
      <charset val="1"/>
    </font>
    <font>
      <i/>
      <sz val="9"/>
      <name val="Arial"/>
      <charset val="1"/>
    </font>
    <font>
      <sz val="10"/>
      <name val="Arial"/>
      <charset val="1"/>
    </font>
    <font>
      <sz val="11"/>
      <color theme="1"/>
      <name val="Calibri"/>
      <family val="2"/>
    </font>
  </fonts>
  <fills count="9">
    <fill>
      <patternFill patternType="none"/>
    </fill>
    <fill>
      <patternFill patternType="gray125"/>
    </fill>
    <fill>
      <patternFill patternType="solid">
        <fgColor theme="0"/>
        <bgColor rgb="FFFDF6E9"/>
      </patternFill>
    </fill>
    <fill>
      <patternFill patternType="solid">
        <fgColor rgb="FF1F4E4E"/>
        <bgColor rgb="FF003366"/>
      </patternFill>
    </fill>
    <fill>
      <patternFill patternType="solid">
        <fgColor rgb="FFE8F0EB"/>
        <bgColor rgb="FFEAF1F8"/>
      </patternFill>
    </fill>
    <fill>
      <patternFill patternType="solid">
        <fgColor rgb="FFFBEDE3"/>
        <bgColor rgb="FFFDF6E9"/>
      </patternFill>
    </fill>
    <fill>
      <patternFill patternType="solid">
        <fgColor rgb="FFEAF1F8"/>
        <bgColor rgb="FFE8F0EB"/>
      </patternFill>
    </fill>
    <fill>
      <patternFill patternType="solid">
        <fgColor rgb="FFD9E5DF"/>
        <bgColor rgb="FFE8F0EB"/>
      </patternFill>
    </fill>
    <fill>
      <patternFill patternType="solid">
        <fgColor rgb="FFFDF6E9"/>
        <bgColor rgb="FFFBEDE3"/>
      </patternFill>
    </fill>
  </fills>
  <borders count="23">
    <border>
      <left/>
      <right/>
      <top/>
      <bottom/>
      <diagonal/>
    </border>
    <border>
      <left/>
      <right/>
      <top/>
      <bottom style="double">
        <color auto="1"/>
      </bottom>
      <diagonal/>
    </border>
    <border>
      <left style="double">
        <color auto="1"/>
      </left>
      <right style="dashed">
        <color auto="1"/>
      </right>
      <top style="double">
        <color auto="1"/>
      </top>
      <bottom style="dashed">
        <color auto="1"/>
      </bottom>
      <diagonal/>
    </border>
    <border>
      <left style="dashed">
        <color auto="1"/>
      </left>
      <right style="dashed">
        <color auto="1"/>
      </right>
      <top style="double">
        <color auto="1"/>
      </top>
      <bottom style="dashed">
        <color auto="1"/>
      </bottom>
      <diagonal/>
    </border>
    <border>
      <left style="dashed">
        <color auto="1"/>
      </left>
      <right style="double">
        <color auto="1"/>
      </right>
      <top style="double">
        <color auto="1"/>
      </top>
      <bottom style="dashed">
        <color auto="1"/>
      </bottom>
      <diagonal/>
    </border>
    <border>
      <left style="dashed">
        <color auto="1"/>
      </left>
      <right style="double">
        <color auto="1"/>
      </right>
      <top style="dashed">
        <color auto="1"/>
      </top>
      <bottom/>
      <diagonal/>
    </border>
    <border>
      <left style="double">
        <color auto="1"/>
      </left>
      <right/>
      <top style="dashed">
        <color auto="1"/>
      </top>
      <bottom style="double">
        <color auto="1"/>
      </bottom>
      <diagonal/>
    </border>
    <border>
      <left style="dotted">
        <color auto="1"/>
      </left>
      <right style="double">
        <color auto="1"/>
      </right>
      <top style="dashed">
        <color auto="1"/>
      </top>
      <bottom style="double">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s>
  <cellStyleXfs count="1">
    <xf numFmtId="0" fontId="0" fillId="0" borderId="0"/>
  </cellStyleXfs>
  <cellXfs count="90">
    <xf numFmtId="0" fontId="0" fillId="0" borderId="0" xfId="0"/>
    <xf numFmtId="0" fontId="4" fillId="0" borderId="16" xfId="0" applyFont="1" applyBorder="1" applyAlignment="1">
      <alignment horizontal="center" vertical="top"/>
    </xf>
    <xf numFmtId="0" fontId="0" fillId="0" borderId="10" xfId="0" applyFont="1" applyBorder="1" applyAlignment="1">
      <alignment horizontal="center" wrapText="1"/>
    </xf>
    <xf numFmtId="0" fontId="4" fillId="0" borderId="9" xfId="0" applyFont="1" applyBorder="1" applyAlignment="1">
      <alignment horizontal="center"/>
    </xf>
    <xf numFmtId="0" fontId="0" fillId="0" borderId="11" xfId="0" applyFont="1" applyBorder="1" applyAlignment="1">
      <alignment horizontal="center" vertical="center"/>
    </xf>
    <xf numFmtId="0" fontId="4" fillId="0" borderId="12" xfId="0" applyFont="1" applyBorder="1" applyAlignment="1">
      <alignment horizontal="center" vertical="center" wrapText="1"/>
    </xf>
    <xf numFmtId="0" fontId="4" fillId="0" borderId="9" xfId="0" applyFont="1" applyBorder="1" applyAlignment="1">
      <alignment horizontal="center" vertical="center"/>
    </xf>
    <xf numFmtId="0" fontId="4" fillId="0" borderId="8" xfId="0" applyFont="1" applyBorder="1" applyAlignment="1">
      <alignment horizontal="center" vertical="center"/>
    </xf>
    <xf numFmtId="0" fontId="3" fillId="0" borderId="6" xfId="0" applyFont="1" applyBorder="1" applyAlignment="1">
      <alignment horizontal="center" vertical="center"/>
    </xf>
    <xf numFmtId="0" fontId="2" fillId="0" borderId="3" xfId="0" applyFont="1" applyBorder="1" applyAlignment="1">
      <alignment horizontal="center" vertical="center" wrapText="1"/>
    </xf>
    <xf numFmtId="0" fontId="1" fillId="0" borderId="2" xfId="0" applyFont="1" applyBorder="1" applyAlignment="1">
      <alignment vertical="center" wrapText="1"/>
    </xf>
    <xf numFmtId="0" fontId="0" fillId="2" borderId="0" xfId="0" applyFill="1" applyAlignment="1"/>
    <xf numFmtId="0" fontId="0" fillId="2" borderId="1" xfId="0" applyFill="1" applyBorder="1" applyAlignment="1"/>
    <xf numFmtId="0" fontId="2" fillId="0" borderId="4" xfId="0" applyFont="1" applyBorder="1" applyAlignment="1">
      <alignment vertical="center" wrapText="1"/>
    </xf>
    <xf numFmtId="0" fontId="2" fillId="0" borderId="5" xfId="0" applyFont="1" applyBorder="1" applyAlignment="1">
      <alignment vertical="center" wrapText="1"/>
    </xf>
    <xf numFmtId="0" fontId="2" fillId="0" borderId="7" xfId="0" applyFont="1" applyBorder="1" applyAlignment="1">
      <alignment vertical="center" wrapText="1"/>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5" fillId="0" borderId="11" xfId="0" applyFont="1" applyBorder="1" applyAlignment="1">
      <alignment horizontal="center" vertical="center"/>
    </xf>
    <xf numFmtId="0" fontId="4" fillId="0" borderId="11" xfId="0" applyFont="1" applyBorder="1" applyAlignment="1">
      <alignment horizontal="center" vertical="center" wrapText="1"/>
    </xf>
    <xf numFmtId="0" fontId="0" fillId="0" borderId="11" xfId="0" applyFont="1" applyBorder="1" applyAlignment="1">
      <alignment horizontal="center" vertical="center"/>
    </xf>
    <xf numFmtId="0" fontId="0" fillId="0" borderId="12" xfId="0" applyFont="1" applyBorder="1" applyAlignment="1">
      <alignment horizontal="center" vertical="center"/>
    </xf>
    <xf numFmtId="0" fontId="4" fillId="0" borderId="11" xfId="0" applyFont="1" applyBorder="1" applyAlignment="1">
      <alignment horizontal="center" vertical="center"/>
    </xf>
    <xf numFmtId="0" fontId="4" fillId="2" borderId="10" xfId="0" applyFont="1" applyFill="1" applyBorder="1" applyAlignment="1">
      <alignment horizontal="center" vertical="center" wrapText="1"/>
    </xf>
    <xf numFmtId="0" fontId="0" fillId="2" borderId="11" xfId="0" applyFont="1" applyFill="1" applyBorder="1" applyAlignment="1">
      <alignment horizontal="center" vertical="center"/>
    </xf>
    <xf numFmtId="0" fontId="4" fillId="0" borderId="13" xfId="0" applyFont="1" applyBorder="1" applyAlignment="1">
      <alignment horizontal="center" vertical="center" wrapText="1"/>
    </xf>
    <xf numFmtId="0" fontId="0" fillId="0" borderId="14" xfId="0" applyBorder="1" applyAlignment="1">
      <alignment horizontal="center" vertical="center"/>
    </xf>
    <xf numFmtId="0" fontId="4" fillId="0" borderId="14" xfId="0" applyFont="1" applyBorder="1" applyAlignment="1">
      <alignment horizontal="center" vertical="center" wrapText="1"/>
    </xf>
    <xf numFmtId="0" fontId="0" fillId="0" borderId="15" xfId="0" applyBorder="1" applyAlignment="1">
      <alignment horizontal="center" vertical="center"/>
    </xf>
    <xf numFmtId="0" fontId="4" fillId="0" borderId="17" xfId="0" applyFont="1" applyBorder="1" applyAlignment="1">
      <alignment horizontal="center" vertical="center"/>
    </xf>
    <xf numFmtId="0" fontId="4" fillId="2" borderId="9" xfId="0" applyFont="1" applyFill="1" applyBorder="1" applyAlignment="1">
      <alignment horizontal="center" vertical="center"/>
    </xf>
    <xf numFmtId="0" fontId="4" fillId="0" borderId="22" xfId="0" applyFont="1" applyBorder="1" applyAlignment="1">
      <alignment horizontal="center" vertical="center"/>
    </xf>
    <xf numFmtId="9" fontId="0" fillId="0" borderId="21" xfId="0" applyNumberFormat="1" applyBorder="1" applyAlignment="1">
      <alignment horizontal="center" vertical="center"/>
    </xf>
    <xf numFmtId="0" fontId="4" fillId="0" borderId="10" xfId="0" applyFont="1" applyBorder="1" applyAlignment="1">
      <alignment horizontal="center"/>
    </xf>
    <xf numFmtId="0" fontId="4" fillId="0" borderId="11" xfId="0" applyFont="1" applyBorder="1" applyAlignment="1">
      <alignment horizontal="center"/>
    </xf>
    <xf numFmtId="0" fontId="0" fillId="0" borderId="10" xfId="0" applyBorder="1" applyAlignment="1">
      <alignment horizontal="center"/>
    </xf>
    <xf numFmtId="0" fontId="0" fillId="0" borderId="11" xfId="0" applyFont="1" applyBorder="1" applyAlignment="1">
      <alignment horizontal="center"/>
    </xf>
    <xf numFmtId="0" fontId="0" fillId="0" borderId="11" xfId="0" applyFont="1" applyBorder="1" applyAlignment="1">
      <alignment horizontal="center" vertical="center" wrapText="1"/>
    </xf>
    <xf numFmtId="0" fontId="0" fillId="0" borderId="11" xfId="0" applyBorder="1" applyAlignment="1">
      <alignment wrapText="1"/>
    </xf>
    <xf numFmtId="0" fontId="5" fillId="0" borderId="10" xfId="0" applyFont="1" applyBorder="1" applyAlignment="1">
      <alignment horizontal="center" vertical="center"/>
    </xf>
    <xf numFmtId="0" fontId="0" fillId="0" borderId="10" xfId="0" applyBorder="1" applyAlignment="1">
      <alignment wrapText="1"/>
    </xf>
    <xf numFmtId="0" fontId="0" fillId="0" borderId="13" xfId="0" applyBorder="1" applyAlignment="1">
      <alignment wrapText="1"/>
    </xf>
    <xf numFmtId="0" fontId="0" fillId="0" borderId="14" xfId="0" applyBorder="1" applyAlignment="1">
      <alignment wrapText="1"/>
    </xf>
    <xf numFmtId="0" fontId="0" fillId="0" borderId="0" xfId="0" applyAlignment="1"/>
    <xf numFmtId="0" fontId="7" fillId="3" borderId="11" xfId="0" applyFont="1" applyFill="1" applyBorder="1" applyAlignment="1">
      <alignment horizontal="center" vertical="center" wrapText="1"/>
    </xf>
    <xf numFmtId="0" fontId="8" fillId="4" borderId="11" xfId="0" applyFont="1" applyFill="1" applyBorder="1" applyAlignment="1">
      <alignment horizontal="center" vertical="top" wrapText="1"/>
    </xf>
    <xf numFmtId="0" fontId="9" fillId="4" borderId="11" xfId="0" applyFont="1" applyFill="1" applyBorder="1" applyAlignment="1">
      <alignment horizontal="left" vertical="top" wrapText="1"/>
    </xf>
    <xf numFmtId="0" fontId="8" fillId="5" borderId="11" xfId="0" applyFont="1" applyFill="1" applyBorder="1" applyAlignment="1">
      <alignment horizontal="center" vertical="top" wrapText="1"/>
    </xf>
    <xf numFmtId="0" fontId="9" fillId="5" borderId="11" xfId="0" applyFont="1" applyFill="1" applyBorder="1" applyAlignment="1">
      <alignment horizontal="left" vertical="top" wrapText="1"/>
    </xf>
    <xf numFmtId="0" fontId="8" fillId="5" borderId="11" xfId="0" applyFont="1" applyFill="1" applyBorder="1" applyAlignment="1">
      <alignment horizontal="left" vertical="top" wrapText="1"/>
    </xf>
    <xf numFmtId="0" fontId="8" fillId="6" borderId="11" xfId="0" applyFont="1" applyFill="1" applyBorder="1" applyAlignment="1">
      <alignment horizontal="center" vertical="top" wrapText="1"/>
    </xf>
    <xf numFmtId="0" fontId="9" fillId="6" borderId="11" xfId="0" applyFont="1" applyFill="1" applyBorder="1" applyAlignment="1">
      <alignment horizontal="left" vertical="top" wrapText="1"/>
    </xf>
    <xf numFmtId="0" fontId="8" fillId="0" borderId="11" xfId="0" applyFont="1" applyBorder="1" applyAlignment="1">
      <alignment horizontal="left" vertical="top" wrapText="1"/>
    </xf>
    <xf numFmtId="0" fontId="9" fillId="0" borderId="11" xfId="0" applyFont="1" applyBorder="1" applyAlignment="1">
      <alignment horizontal="left" vertical="top" wrapText="1"/>
    </xf>
    <xf numFmtId="0" fontId="8" fillId="4" borderId="11" xfId="0" applyFont="1" applyFill="1" applyBorder="1" applyAlignment="1">
      <alignment horizontal="left" vertical="top" wrapText="1"/>
    </xf>
    <xf numFmtId="0" fontId="12" fillId="4" borderId="11" xfId="0" applyFont="1" applyFill="1" applyBorder="1" applyAlignment="1">
      <alignment horizontal="left" vertical="top" wrapText="1"/>
    </xf>
    <xf numFmtId="0" fontId="12" fillId="0" borderId="11" xfId="0" applyFont="1" applyBorder="1" applyAlignment="1">
      <alignment horizontal="left" vertical="top" wrapText="1"/>
    </xf>
    <xf numFmtId="0" fontId="13" fillId="8" borderId="11" xfId="0" applyFont="1" applyFill="1" applyBorder="1" applyAlignment="1">
      <alignment horizontal="left" vertical="top" wrapText="1"/>
    </xf>
    <xf numFmtId="0" fontId="14" fillId="8" borderId="11" xfId="0" applyFont="1" applyFill="1" applyBorder="1" applyAlignment="1">
      <alignment horizontal="left" vertical="top" wrapText="1"/>
    </xf>
    <xf numFmtId="0" fontId="12" fillId="8" borderId="11" xfId="0" applyFont="1" applyFill="1" applyBorder="1" applyAlignment="1">
      <alignment horizontal="left" vertical="top" wrapText="1"/>
    </xf>
    <xf numFmtId="0" fontId="13" fillId="0" borderId="11" xfId="0" applyFont="1" applyBorder="1" applyAlignment="1">
      <alignment horizontal="left" vertical="top" wrapText="1"/>
    </xf>
    <xf numFmtId="0" fontId="14" fillId="0" borderId="11" xfId="0" applyFont="1" applyBorder="1" applyAlignment="1">
      <alignment horizontal="left" vertical="top" wrapText="1"/>
    </xf>
    <xf numFmtId="0" fontId="10" fillId="3" borderId="0" xfId="0" applyFont="1" applyFill="1" applyAlignment="1">
      <alignment horizontal="left" vertical="center"/>
    </xf>
    <xf numFmtId="0" fontId="16" fillId="0" borderId="0" xfId="0" applyFont="1" applyAlignment="1">
      <alignment horizontal="left" vertical="top" wrapText="1"/>
    </xf>
    <xf numFmtId="0" fontId="4" fillId="0" borderId="17" xfId="0" applyFont="1" applyBorder="1" applyAlignment="1">
      <alignment horizontal="center" vertical="center"/>
    </xf>
    <xf numFmtId="0" fontId="4" fillId="2" borderId="17" xfId="0" applyFont="1" applyFill="1" applyBorder="1" applyAlignment="1">
      <alignment horizontal="center" vertical="center"/>
    </xf>
    <xf numFmtId="0" fontId="4" fillId="0" borderId="18" xfId="0" applyFont="1" applyBorder="1" applyAlignment="1">
      <alignment horizontal="center" vertical="top"/>
    </xf>
    <xf numFmtId="0" fontId="5" fillId="0" borderId="18" xfId="0" applyFont="1" applyBorder="1" applyAlignment="1">
      <alignment horizontal="left" vertical="top" wrapText="1"/>
    </xf>
    <xf numFmtId="0" fontId="5" fillId="2" borderId="18" xfId="0" applyFont="1" applyFill="1" applyBorder="1" applyAlignment="1">
      <alignment horizontal="left" vertical="top" wrapText="1"/>
    </xf>
    <xf numFmtId="0" fontId="4" fillId="0" borderId="19" xfId="0" applyFont="1" applyBorder="1" applyAlignment="1">
      <alignment horizontal="center"/>
    </xf>
    <xf numFmtId="0" fontId="5" fillId="0" borderId="16" xfId="0" applyFont="1" applyBorder="1" applyAlignment="1">
      <alignment horizontal="left" vertical="top" wrapText="1"/>
    </xf>
    <xf numFmtId="0" fontId="4" fillId="0" borderId="20" xfId="0" applyFont="1" applyBorder="1" applyAlignment="1">
      <alignment horizontal="center" vertical="top" wrapText="1"/>
    </xf>
    <xf numFmtId="0" fontId="5" fillId="0" borderId="21" xfId="0" applyFont="1" applyBorder="1" applyAlignment="1">
      <alignment horizontal="left" vertical="top" wrapText="1"/>
    </xf>
    <xf numFmtId="0" fontId="4" fillId="0" borderId="20" xfId="0" applyFont="1" applyBorder="1" applyAlignment="1">
      <alignment horizontal="center" vertical="center"/>
    </xf>
    <xf numFmtId="0" fontId="0" fillId="0" borderId="22" xfId="0" applyFont="1" applyBorder="1" applyAlignment="1">
      <alignment horizontal="center"/>
    </xf>
    <xf numFmtId="0" fontId="4" fillId="0" borderId="11" xfId="0" applyFont="1" applyBorder="1" applyAlignment="1">
      <alignment horizontal="center" vertical="center" wrapText="1"/>
    </xf>
    <xf numFmtId="0" fontId="4" fillId="0" borderId="11" xfId="0" applyFont="1" applyBorder="1" applyAlignment="1">
      <alignment horizontal="center" vertical="center"/>
    </xf>
    <xf numFmtId="0" fontId="5" fillId="0" borderId="11" xfId="0" applyFont="1" applyBorder="1" applyAlignment="1">
      <alignment horizontal="left" vertical="top" wrapText="1"/>
    </xf>
    <xf numFmtId="0" fontId="4" fillId="0" borderId="11" xfId="0" applyFont="1" applyBorder="1" applyAlignment="1">
      <alignment horizontal="center"/>
    </xf>
    <xf numFmtId="0" fontId="0" fillId="0" borderId="11" xfId="0" applyBorder="1" applyAlignment="1">
      <alignment horizontal="center" wrapText="1"/>
    </xf>
    <xf numFmtId="0" fontId="0" fillId="0" borderId="11" xfId="0" applyFont="1" applyBorder="1" applyAlignment="1">
      <alignment horizontal="center" vertical="top" wrapText="1"/>
    </xf>
    <xf numFmtId="0" fontId="0" fillId="0" borderId="14" xfId="0" applyBorder="1" applyAlignment="1">
      <alignment horizontal="center" wrapText="1"/>
    </xf>
    <xf numFmtId="0" fontId="6" fillId="3" borderId="0" xfId="0" applyFont="1" applyFill="1" applyBorder="1" applyAlignment="1">
      <alignment horizontal="center" vertical="center" wrapText="1"/>
    </xf>
    <xf numFmtId="0" fontId="10" fillId="3" borderId="0" xfId="0" applyFont="1" applyFill="1" applyBorder="1" applyAlignment="1">
      <alignment horizontal="center" vertical="center"/>
    </xf>
    <xf numFmtId="0" fontId="11" fillId="7" borderId="11" xfId="0" applyFont="1" applyFill="1" applyBorder="1" applyAlignment="1">
      <alignment horizontal="left" vertical="center"/>
    </xf>
    <xf numFmtId="0" fontId="15" fillId="0" borderId="11" xfId="0" applyFont="1" applyBorder="1" applyAlignment="1">
      <alignment horizontal="left" vertical="top" wrapText="1"/>
    </xf>
    <xf numFmtId="0" fontId="17" fillId="0" borderId="12" xfId="0" applyFont="1" applyBorder="1" applyAlignment="1">
      <alignment horizontal="left" vertical="top" wrapText="1"/>
    </xf>
    <xf numFmtId="0" fontId="0" fillId="0" borderId="15" xfId="0" applyFont="1" applyBorder="1" applyAlignment="1">
      <alignment horizontal="left" vertical="top" wrapText="1"/>
    </xf>
    <xf numFmtId="0" fontId="4" fillId="0" borderId="10" xfId="0" applyFont="1" applyBorder="1" applyAlignment="1">
      <alignment horizontal="center" vertical="center" wrapText="1"/>
    </xf>
    <xf numFmtId="0" fontId="4" fillId="0" borderId="13"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F6E9"/>
      <rgbColor rgb="FFEAF1F8"/>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E8F0EB"/>
      <rgbColor rgb="FFD9E5DF"/>
      <rgbColor rgb="FFFBEDE3"/>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D7357"/>
      <rgbColor rgb="FF003300"/>
      <rgbColor rgb="FF333300"/>
      <rgbColor rgb="FF993300"/>
      <rgbColor rgb="FF993366"/>
      <rgbColor rgb="FF333399"/>
      <rgbColor rgb="FF1F4E4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80640</xdr:colOff>
      <xdr:row>1</xdr:row>
      <xdr:rowOff>112680</xdr:rowOff>
    </xdr:from>
    <xdr:to>
      <xdr:col>1</xdr:col>
      <xdr:colOff>1003680</xdr:colOff>
      <xdr:row>2</xdr:row>
      <xdr:rowOff>171360</xdr:rowOff>
    </xdr:to>
    <xdr:pic>
      <xdr:nvPicPr>
        <xdr:cNvPr id="2" name="Imagen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302760" y="312840"/>
          <a:ext cx="923040" cy="34416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hyperlink" Target="https://jakevdp.github.io/PythonDataScienceHandbook" TargetMode="External"/><Relationship Id="rId13" Type="http://schemas.openxmlformats.org/officeDocument/2006/relationships/hyperlink" Target="https://doi.org/10.1080/10618600.2017.1384734" TargetMode="External"/><Relationship Id="rId18" Type="http://schemas.openxmlformats.org/officeDocument/2006/relationships/hyperlink" Target="https://weaponsofmathdestructionbook.com/" TargetMode="External"/><Relationship Id="rId3" Type="http://schemas.openxmlformats.org/officeDocument/2006/relationships/hyperlink" Target="https://www.oreilly.com/" TargetMode="External"/><Relationship Id="rId7" Type="http://schemas.openxmlformats.org/officeDocument/2006/relationships/hyperlink" Target="https://r4ds.hadley.nz/" TargetMode="External"/><Relationship Id="rId12" Type="http://schemas.openxmlformats.org/officeDocument/2006/relationships/hyperlink" Target="https://doi.org/10.1007/978-3-319-10247-4" TargetMode="External"/><Relationship Id="rId17" Type="http://schemas.openxmlformats.org/officeDocument/2006/relationships/hyperlink" Target="https://doi.org/10.1186/s40537-021-00516-0" TargetMode="External"/><Relationship Id="rId2" Type="http://schemas.openxmlformats.org/officeDocument/2006/relationships/hyperlink" Target="https://wesmckinney.com/book" TargetMode="External"/><Relationship Id="rId16" Type="http://schemas.openxmlformats.org/officeDocument/2006/relationships/hyperlink" Target="https://doi.org/10.1177/15291006211051956" TargetMode="External"/><Relationship Id="rId1" Type="http://schemas.openxmlformats.org/officeDocument/2006/relationships/hyperlink" Target="https://www.vdsbook.com/" TargetMode="External"/><Relationship Id="rId6" Type="http://schemas.openxmlformats.org/officeDocument/2006/relationships/hyperlink" Target="https://www.statlearning.com/" TargetMode="External"/><Relationship Id="rId11" Type="http://schemas.openxmlformats.org/officeDocument/2006/relationships/hyperlink" Target="https://data-science-for-biz.com/" TargetMode="External"/><Relationship Id="rId5" Type="http://schemas.openxmlformats.org/officeDocument/2006/relationships/hyperlink" Target="https://universidadean.edu.co/catalogo-de-libros" TargetMode="External"/><Relationship Id="rId15" Type="http://schemas.openxmlformats.org/officeDocument/2006/relationships/hyperlink" Target="https://doi.org/10.1073/pnas.1901326117" TargetMode="External"/><Relationship Id="rId10" Type="http://schemas.openxmlformats.org/officeDocument/2006/relationships/hyperlink" Target="https://www.albertocairo.com/" TargetMode="External"/><Relationship Id="rId4" Type="http://schemas.openxmlformats.org/officeDocument/2006/relationships/hyperlink" Target="https://www.storytellingwithdata.com/" TargetMode="External"/><Relationship Id="rId9" Type="http://schemas.openxmlformats.org/officeDocument/2006/relationships/hyperlink" Target="https://clauswilke.com/dataviz" TargetMode="External"/><Relationship Id="rId14" Type="http://schemas.openxmlformats.org/officeDocument/2006/relationships/hyperlink" Target="https://doi.org/10.18637/jss.v059.i10"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sciencedirect.com/book/9780128117606/data-mining" TargetMode="External"/><Relationship Id="rId13" Type="http://schemas.openxmlformats.org/officeDocument/2006/relationships/hyperlink" Target="https://doi.org/10.1007/978-3-319-55444-0" TargetMode="External"/><Relationship Id="rId18" Type="http://schemas.openxmlformats.org/officeDocument/2006/relationships/hyperlink" Target="https://www.accessengineeringlibrary.com/" TargetMode="External"/><Relationship Id="rId3" Type="http://schemas.openxmlformats.org/officeDocument/2006/relationships/hyperlink" Target="https://universidadean.edu.co/catalogo-de-libros" TargetMode="External"/><Relationship Id="rId21" Type="http://schemas.openxmlformats.org/officeDocument/2006/relationships/hyperlink" Target="https://www.storytellingwithdata.com/" TargetMode="External"/><Relationship Id="rId7" Type="http://schemas.openxmlformats.org/officeDocument/2006/relationships/hyperlink" Target="https://www.db-book.com/" TargetMode="External"/><Relationship Id="rId12" Type="http://schemas.openxmlformats.org/officeDocument/2006/relationships/hyperlink" Target="https://www.statlearning.com/" TargetMode="External"/><Relationship Id="rId17" Type="http://schemas.openxmlformats.org/officeDocument/2006/relationships/hyperlink" Target="https://doi.org/10.1186/s40537-021-00516-0" TargetMode="External"/><Relationship Id="rId25" Type="http://schemas.openxmlformats.org/officeDocument/2006/relationships/hyperlink" Target="https://universidadean.edu.co/biblioteca" TargetMode="External"/><Relationship Id="rId2" Type="http://schemas.openxmlformats.org/officeDocument/2006/relationships/hyperlink" Target="https://doi.org/10.1007/978-3-319-10247-4" TargetMode="External"/><Relationship Id="rId16" Type="http://schemas.openxmlformats.org/officeDocument/2006/relationships/hyperlink" Target="https://link.springer.com/book/10.1007/978-3-031-04648-3" TargetMode="External"/><Relationship Id="rId20" Type="http://schemas.openxmlformats.org/officeDocument/2006/relationships/hyperlink" Target="https://www.ebooks7-24.com/" TargetMode="External"/><Relationship Id="rId1" Type="http://schemas.openxmlformats.org/officeDocument/2006/relationships/hyperlink" Target="https://universidadean.edu.co/catalogo-de-libros" TargetMode="External"/><Relationship Id="rId6" Type="http://schemas.openxmlformats.org/officeDocument/2006/relationships/hyperlink" Target="https://universidadean.edu.co/catalogo-de-libros" TargetMode="External"/><Relationship Id="rId11" Type="http://schemas.openxmlformats.org/officeDocument/2006/relationships/hyperlink" Target="https://www.sciencedirect.com/" TargetMode="External"/><Relationship Id="rId24" Type="http://schemas.openxmlformats.org/officeDocument/2006/relationships/hyperlink" Target="https://journal.universidadean.edu.co/" TargetMode="External"/><Relationship Id="rId5" Type="http://schemas.openxmlformats.org/officeDocument/2006/relationships/hyperlink" Target="https://universidadean.edu.co/catalogo-de-libros" TargetMode="External"/><Relationship Id="rId15" Type="http://schemas.openxmlformats.org/officeDocument/2006/relationships/hyperlink" Target="https://hastie.su.domains/ElemStatLearn/" TargetMode="External"/><Relationship Id="rId23" Type="http://schemas.openxmlformats.org/officeDocument/2006/relationships/hyperlink" Target="https://repository.universidadean.edu.co/" TargetMode="External"/><Relationship Id="rId10" Type="http://schemas.openxmlformats.org/officeDocument/2006/relationships/hyperlink" Target="https://doi.org/10.1016/j.patter.2020.100141" TargetMode="External"/><Relationship Id="rId19" Type="http://schemas.openxmlformats.org/officeDocument/2006/relationships/hyperlink" Target="https://www.accessengineeringlibrary.com/" TargetMode="External"/><Relationship Id="rId4" Type="http://schemas.openxmlformats.org/officeDocument/2006/relationships/hyperlink" Target="https://universidadean.edu.co/catalogo-de-libros" TargetMode="External"/><Relationship Id="rId9" Type="http://schemas.openxmlformats.org/officeDocument/2006/relationships/hyperlink" Target="https://www.sciencedirect.com/book/9780128147610/data-science" TargetMode="External"/><Relationship Id="rId14" Type="http://schemas.openxmlformats.org/officeDocument/2006/relationships/hyperlink" Target="https://doi.org/10.1007/978-1-4614-6849-3" TargetMode="External"/><Relationship Id="rId22" Type="http://schemas.openxmlformats.org/officeDocument/2006/relationships/hyperlink" Target="https://www.marcomb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42" zoomScale="80" zoomScaleNormal="80" workbookViewId="0">
      <selection activeCell="I55" sqref="I55"/>
    </sheetView>
  </sheetViews>
  <sheetFormatPr baseColWidth="10" defaultColWidth="10.81640625" defaultRowHeight="14.5" x14ac:dyDescent="0.35"/>
  <cols>
    <col min="1" max="1" width="3.1796875" style="11" customWidth="1"/>
    <col min="2" max="2" width="14.26953125" style="11" customWidth="1"/>
    <col min="3" max="3" width="11.26953125" style="11" customWidth="1"/>
    <col min="4" max="4" width="12.26953125" style="11" customWidth="1"/>
    <col min="5" max="5" width="10.08984375" style="11" customWidth="1"/>
    <col min="6" max="7" width="10.81640625" style="11"/>
    <col min="8" max="8" width="9.81640625" style="11" customWidth="1"/>
    <col min="9" max="9" width="16.7265625" style="11" customWidth="1"/>
    <col min="10" max="16384" width="10.81640625" style="11"/>
  </cols>
  <sheetData>
    <row r="1" spans="2:9" ht="15.75" customHeight="1" x14ac:dyDescent="0.35">
      <c r="C1" s="12"/>
      <c r="D1" s="12"/>
      <c r="E1" s="12"/>
      <c r="F1" s="12"/>
      <c r="G1" s="12"/>
      <c r="H1" s="12"/>
    </row>
    <row r="2" spans="2:9" ht="22.5" customHeight="1" x14ac:dyDescent="0.35">
      <c r="B2" s="10"/>
      <c r="C2" s="9" t="s">
        <v>0</v>
      </c>
      <c r="D2" s="9"/>
      <c r="E2" s="9"/>
      <c r="F2" s="9"/>
      <c r="G2" s="9"/>
      <c r="H2" s="9"/>
      <c r="I2" s="13" t="s">
        <v>1</v>
      </c>
    </row>
    <row r="3" spans="2:9" ht="20.25" customHeight="1" x14ac:dyDescent="0.35">
      <c r="B3" s="10"/>
      <c r="C3" s="9"/>
      <c r="D3" s="9"/>
      <c r="E3" s="9"/>
      <c r="F3" s="9"/>
      <c r="G3" s="9"/>
      <c r="H3" s="9"/>
      <c r="I3" s="14" t="s">
        <v>2</v>
      </c>
    </row>
    <row r="4" spans="2:9" ht="21" customHeight="1" x14ac:dyDescent="0.35">
      <c r="B4" s="8" t="s">
        <v>3</v>
      </c>
      <c r="C4" s="8"/>
      <c r="D4" s="8"/>
      <c r="E4" s="8"/>
      <c r="F4" s="8"/>
      <c r="G4" s="8"/>
      <c r="H4" s="8"/>
      <c r="I4" s="15" t="s">
        <v>4</v>
      </c>
    </row>
    <row r="5" spans="2:9" ht="16.5" customHeight="1" x14ac:dyDescent="0.35">
      <c r="B5" s="7"/>
      <c r="C5" s="7"/>
      <c r="D5" s="7"/>
      <c r="E5" s="7"/>
      <c r="F5" s="7"/>
      <c r="G5" s="7"/>
      <c r="H5" s="7"/>
      <c r="I5" s="7"/>
    </row>
    <row r="6" spans="2:9" ht="15" customHeight="1" x14ac:dyDescent="0.35">
      <c r="B6" s="6" t="s">
        <v>5</v>
      </c>
      <c r="C6" s="6"/>
      <c r="D6" s="6"/>
      <c r="E6" s="6"/>
      <c r="F6" s="6"/>
      <c r="G6" s="6"/>
      <c r="H6" s="6"/>
      <c r="I6" s="6"/>
    </row>
    <row r="7" spans="2:9" ht="60" customHeight="1" x14ac:dyDescent="0.35">
      <c r="B7" s="17" t="s">
        <v>6</v>
      </c>
      <c r="C7" s="18">
        <v>2026</v>
      </c>
      <c r="D7" s="19" t="s">
        <v>7</v>
      </c>
      <c r="E7" s="20" t="s">
        <v>457</v>
      </c>
      <c r="F7" s="19" t="s">
        <v>8</v>
      </c>
      <c r="G7" s="20" t="s">
        <v>9</v>
      </c>
      <c r="H7" s="19" t="s">
        <v>10</v>
      </c>
      <c r="I7" s="21" t="s">
        <v>11</v>
      </c>
    </row>
    <row r="8" spans="2:9" ht="30" customHeight="1" x14ac:dyDescent="0.35">
      <c r="B8" s="17" t="s">
        <v>12</v>
      </c>
      <c r="C8" s="22" t="s">
        <v>13</v>
      </c>
      <c r="D8" s="22" t="s">
        <v>14</v>
      </c>
      <c r="E8" s="22" t="s">
        <v>15</v>
      </c>
      <c r="F8" s="19"/>
      <c r="G8" s="19" t="s">
        <v>16</v>
      </c>
      <c r="H8" s="5"/>
      <c r="I8" s="5"/>
    </row>
    <row r="9" spans="2:9" ht="45" customHeight="1" x14ac:dyDescent="0.35">
      <c r="B9" s="23" t="s">
        <v>17</v>
      </c>
      <c r="C9" s="24" t="s">
        <v>18</v>
      </c>
      <c r="D9" s="22" t="s">
        <v>19</v>
      </c>
      <c r="E9" s="4" t="s">
        <v>458</v>
      </c>
      <c r="F9" s="4"/>
      <c r="G9" s="19" t="s">
        <v>20</v>
      </c>
      <c r="H9" s="4" t="s">
        <v>21</v>
      </c>
      <c r="I9" s="4"/>
    </row>
    <row r="10" spans="2:9" ht="30.75" customHeight="1" x14ac:dyDescent="0.35">
      <c r="B10" s="25" t="s">
        <v>22</v>
      </c>
      <c r="C10" s="26">
        <v>3</v>
      </c>
      <c r="D10" s="27" t="s">
        <v>23</v>
      </c>
      <c r="E10" s="26">
        <v>54</v>
      </c>
      <c r="F10" s="27" t="s">
        <v>24</v>
      </c>
      <c r="G10" s="26">
        <v>90</v>
      </c>
      <c r="H10" s="27" t="s">
        <v>25</v>
      </c>
      <c r="I10" s="28">
        <f>E10+G10</f>
        <v>144</v>
      </c>
    </row>
    <row r="11" spans="2:9" ht="15" customHeight="1" x14ac:dyDescent="0.35">
      <c r="B11" s="3" t="s">
        <v>26</v>
      </c>
      <c r="C11" s="3"/>
      <c r="D11" s="3"/>
      <c r="E11" s="3"/>
      <c r="F11" s="3"/>
      <c r="G11" s="3"/>
      <c r="H11" s="3"/>
      <c r="I11" s="3"/>
    </row>
    <row r="12" spans="2:9" ht="189.75" customHeight="1" x14ac:dyDescent="0.35">
      <c r="B12" s="88" t="s">
        <v>27</v>
      </c>
      <c r="C12" s="88"/>
      <c r="D12" s="86" t="s">
        <v>28</v>
      </c>
      <c r="E12" s="86"/>
      <c r="F12" s="86"/>
      <c r="G12" s="86"/>
      <c r="H12" s="86"/>
      <c r="I12" s="86"/>
    </row>
    <row r="13" spans="2:9" ht="165" customHeight="1" x14ac:dyDescent="0.35">
      <c r="B13" s="89" t="s">
        <v>29</v>
      </c>
      <c r="C13" s="89"/>
      <c r="D13" s="87" t="s">
        <v>30</v>
      </c>
      <c r="E13" s="87"/>
      <c r="F13" s="87"/>
      <c r="G13" s="87"/>
      <c r="H13" s="87"/>
      <c r="I13" s="87"/>
    </row>
    <row r="14" spans="2:9" ht="15" customHeight="1" x14ac:dyDescent="0.35">
      <c r="B14" s="3" t="s">
        <v>31</v>
      </c>
      <c r="C14" s="3"/>
      <c r="D14" s="3"/>
      <c r="E14" s="3"/>
      <c r="F14" s="3"/>
      <c r="G14" s="3"/>
      <c r="H14" s="3"/>
      <c r="I14" s="3"/>
    </row>
    <row r="15" spans="2:9" ht="15" customHeight="1" x14ac:dyDescent="0.35">
      <c r="B15" s="2" t="s">
        <v>32</v>
      </c>
      <c r="C15" s="2"/>
      <c r="D15" s="2"/>
      <c r="E15" s="2"/>
      <c r="F15" s="2"/>
      <c r="G15" s="2"/>
      <c r="H15" s="2"/>
      <c r="I15" s="2"/>
    </row>
    <row r="16" spans="2:9" ht="15" customHeight="1" x14ac:dyDescent="0.35">
      <c r="B16" s="2"/>
      <c r="C16" s="2"/>
      <c r="D16" s="2"/>
      <c r="E16" s="2"/>
      <c r="F16" s="2"/>
      <c r="G16" s="2"/>
      <c r="H16" s="2"/>
      <c r="I16" s="2"/>
    </row>
    <row r="17" spans="2:9" ht="15.75" customHeight="1" x14ac:dyDescent="0.35">
      <c r="B17" s="2"/>
      <c r="C17" s="2"/>
      <c r="D17" s="2"/>
      <c r="E17" s="2"/>
      <c r="F17" s="2"/>
      <c r="G17" s="2"/>
      <c r="H17" s="2"/>
      <c r="I17" s="2"/>
    </row>
    <row r="18" spans="2:9" ht="15.75" customHeight="1" x14ac:dyDescent="0.35">
      <c r="B18" s="1" t="s">
        <v>33</v>
      </c>
      <c r="C18" s="1"/>
      <c r="D18" s="1"/>
      <c r="E18" s="1"/>
      <c r="F18" s="1"/>
      <c r="G18" s="1"/>
      <c r="H18" s="1"/>
      <c r="I18" s="1"/>
    </row>
    <row r="19" spans="2:9" ht="15" customHeight="1" x14ac:dyDescent="0.35">
      <c r="B19" s="16" t="s">
        <v>34</v>
      </c>
      <c r="C19" s="29" t="s">
        <v>35</v>
      </c>
      <c r="D19" s="16" t="s">
        <v>36</v>
      </c>
      <c r="E19" s="64" t="s">
        <v>37</v>
      </c>
      <c r="F19" s="64"/>
      <c r="G19" s="30" t="s">
        <v>38</v>
      </c>
      <c r="H19" s="65" t="s">
        <v>39</v>
      </c>
      <c r="I19" s="65"/>
    </row>
    <row r="20" spans="2:9" ht="55.5" customHeight="1" x14ac:dyDescent="0.35">
      <c r="B20" s="66"/>
      <c r="C20" s="66"/>
      <c r="D20" s="67" t="s">
        <v>40</v>
      </c>
      <c r="E20" s="67"/>
      <c r="F20" s="67"/>
      <c r="G20" s="68"/>
      <c r="H20" s="68"/>
      <c r="I20" s="68"/>
    </row>
    <row r="21" spans="2:9" ht="55.5" customHeight="1" x14ac:dyDescent="0.35">
      <c r="B21" s="66"/>
      <c r="C21" s="66"/>
      <c r="D21" s="67"/>
      <c r="E21" s="67"/>
      <c r="F21" s="67"/>
      <c r="G21" s="68"/>
      <c r="H21" s="68"/>
      <c r="I21" s="68"/>
    </row>
    <row r="22" spans="2:9" ht="55.5" customHeight="1" x14ac:dyDescent="0.35">
      <c r="B22" s="66"/>
      <c r="C22" s="66"/>
      <c r="D22" s="67"/>
      <c r="E22" s="67"/>
      <c r="F22" s="67"/>
      <c r="G22" s="68"/>
      <c r="H22" s="68"/>
      <c r="I22" s="68"/>
    </row>
    <row r="23" spans="2:9" ht="55.5" customHeight="1" x14ac:dyDescent="0.35">
      <c r="B23" s="66"/>
      <c r="C23" s="66"/>
      <c r="D23" s="67"/>
      <c r="E23" s="67"/>
      <c r="F23" s="67"/>
      <c r="G23" s="68"/>
      <c r="H23" s="68"/>
      <c r="I23" s="68"/>
    </row>
    <row r="24" spans="2:9" ht="55.5" customHeight="1" x14ac:dyDescent="0.35">
      <c r="B24" s="66"/>
      <c r="C24" s="66"/>
      <c r="D24" s="67"/>
      <c r="E24" s="67"/>
      <c r="F24" s="67"/>
      <c r="G24" s="68"/>
      <c r="H24" s="68"/>
      <c r="I24" s="68"/>
    </row>
    <row r="25" spans="2:9" ht="55.5" customHeight="1" x14ac:dyDescent="0.35">
      <c r="B25" s="66"/>
      <c r="C25" s="66"/>
      <c r="D25" s="67"/>
      <c r="E25" s="67"/>
      <c r="F25" s="67"/>
      <c r="G25" s="68"/>
      <c r="H25" s="68"/>
      <c r="I25" s="68"/>
    </row>
    <row r="26" spans="2:9" ht="55.5" customHeight="1" x14ac:dyDescent="0.35">
      <c r="B26" s="66"/>
      <c r="C26" s="66"/>
      <c r="D26" s="67"/>
      <c r="E26" s="67"/>
      <c r="F26" s="67"/>
      <c r="G26" s="68"/>
      <c r="H26" s="68"/>
      <c r="I26" s="68"/>
    </row>
    <row r="27" spans="2:9" ht="15.75" customHeight="1" x14ac:dyDescent="0.35">
      <c r="B27" s="69" t="s">
        <v>41</v>
      </c>
      <c r="C27" s="69"/>
      <c r="D27" s="69"/>
      <c r="E27" s="69"/>
      <c r="F27" s="69"/>
      <c r="G27" s="69"/>
      <c r="H27" s="69"/>
      <c r="I27" s="69"/>
    </row>
    <row r="28" spans="2:9" ht="25.5" customHeight="1" x14ac:dyDescent="0.35">
      <c r="B28" s="70" t="s">
        <v>42</v>
      </c>
      <c r="C28" s="70"/>
      <c r="D28" s="70"/>
      <c r="E28" s="70"/>
      <c r="F28" s="70"/>
      <c r="G28" s="70"/>
      <c r="H28" s="70"/>
      <c r="I28" s="70"/>
    </row>
    <row r="29" spans="2:9" ht="25.5" customHeight="1" x14ac:dyDescent="0.35">
      <c r="B29" s="70"/>
      <c r="C29" s="70"/>
      <c r="D29" s="70"/>
      <c r="E29" s="70"/>
      <c r="F29" s="70"/>
      <c r="G29" s="70"/>
      <c r="H29" s="70"/>
      <c r="I29" s="70"/>
    </row>
    <row r="30" spans="2:9" ht="25.5" customHeight="1" x14ac:dyDescent="0.35">
      <c r="B30" s="70"/>
      <c r="C30" s="70"/>
      <c r="D30" s="70"/>
      <c r="E30" s="70"/>
      <c r="F30" s="70"/>
      <c r="G30" s="70"/>
      <c r="H30" s="70"/>
      <c r="I30" s="70"/>
    </row>
    <row r="31" spans="2:9" ht="25.5" customHeight="1" x14ac:dyDescent="0.35">
      <c r="B31" s="70"/>
      <c r="C31" s="70"/>
      <c r="D31" s="70"/>
      <c r="E31" s="70"/>
      <c r="F31" s="70"/>
      <c r="G31" s="70"/>
      <c r="H31" s="70"/>
      <c r="I31" s="70"/>
    </row>
    <row r="32" spans="2:9" ht="25.5" customHeight="1" x14ac:dyDescent="0.35">
      <c r="B32" s="70"/>
      <c r="C32" s="70"/>
      <c r="D32" s="70"/>
      <c r="E32" s="70"/>
      <c r="F32" s="70"/>
      <c r="G32" s="70"/>
      <c r="H32" s="70"/>
      <c r="I32" s="70"/>
    </row>
    <row r="33" spans="2:9" ht="51.75" customHeight="1" x14ac:dyDescent="0.35">
      <c r="B33" s="71" t="s">
        <v>43</v>
      </c>
      <c r="C33" s="71"/>
      <c r="D33" s="71"/>
      <c r="E33" s="71"/>
      <c r="F33" s="72" t="s">
        <v>44</v>
      </c>
      <c r="G33" s="72"/>
      <c r="H33" s="72"/>
      <c r="I33" s="72"/>
    </row>
    <row r="34" spans="2:9" ht="15.75" customHeight="1" x14ac:dyDescent="0.35">
      <c r="B34" s="73" t="s">
        <v>45</v>
      </c>
      <c r="C34" s="73"/>
      <c r="D34" s="73"/>
      <c r="E34" s="73"/>
      <c r="F34" s="74" t="s">
        <v>46</v>
      </c>
      <c r="G34" s="74"/>
      <c r="H34" s="31" t="s">
        <v>47</v>
      </c>
      <c r="I34" s="32">
        <v>0.3</v>
      </c>
    </row>
    <row r="35" spans="2:9" ht="15" customHeight="1" x14ac:dyDescent="0.35">
      <c r="B35" s="3" t="s">
        <v>48</v>
      </c>
      <c r="C35" s="3"/>
      <c r="D35" s="3"/>
      <c r="E35" s="3"/>
      <c r="F35" s="3"/>
      <c r="G35" s="3"/>
      <c r="H35" s="3"/>
      <c r="I35" s="3"/>
    </row>
    <row r="36" spans="2:9" ht="14.25" customHeight="1" x14ac:dyDescent="0.35">
      <c r="B36" s="75" t="s">
        <v>49</v>
      </c>
      <c r="C36" s="75"/>
      <c r="D36" s="75"/>
      <c r="E36" s="75"/>
      <c r="F36" s="76" t="s">
        <v>50</v>
      </c>
      <c r="G36" s="76"/>
      <c r="H36" s="76"/>
      <c r="I36" s="76"/>
    </row>
    <row r="37" spans="2:9" ht="73.5" customHeight="1" x14ac:dyDescent="0.35">
      <c r="B37" s="77" t="s">
        <v>51</v>
      </c>
      <c r="C37" s="77"/>
      <c r="D37" s="77"/>
      <c r="E37" s="77"/>
      <c r="F37" s="77" t="s">
        <v>52</v>
      </c>
      <c r="G37" s="77"/>
      <c r="H37" s="77"/>
      <c r="I37" s="77"/>
    </row>
    <row r="38" spans="2:9" ht="73.5" customHeight="1" x14ac:dyDescent="0.35">
      <c r="B38" s="77"/>
      <c r="C38" s="77"/>
      <c r="D38" s="77"/>
      <c r="E38" s="77"/>
      <c r="F38" s="77"/>
      <c r="G38" s="77"/>
      <c r="H38" s="77"/>
      <c r="I38" s="77"/>
    </row>
    <row r="39" spans="2:9" ht="73.5" customHeight="1" x14ac:dyDescent="0.35">
      <c r="B39" s="77"/>
      <c r="C39" s="77"/>
      <c r="D39" s="77"/>
      <c r="E39" s="77"/>
      <c r="F39" s="77"/>
      <c r="G39" s="77"/>
      <c r="H39" s="77"/>
      <c r="I39" s="77"/>
    </row>
    <row r="40" spans="2:9" ht="73.5" customHeight="1" x14ac:dyDescent="0.35">
      <c r="B40" s="77"/>
      <c r="C40" s="77"/>
      <c r="D40" s="77"/>
      <c r="E40" s="77"/>
      <c r="F40" s="77"/>
      <c r="G40" s="77"/>
      <c r="H40" s="77"/>
      <c r="I40" s="77"/>
    </row>
    <row r="41" spans="2:9" ht="73.5" customHeight="1" x14ac:dyDescent="0.35">
      <c r="B41" s="77"/>
      <c r="C41" s="77"/>
      <c r="D41" s="77"/>
      <c r="E41" s="77"/>
      <c r="F41" s="77"/>
      <c r="G41" s="77"/>
      <c r="H41" s="77"/>
      <c r="I41" s="77"/>
    </row>
    <row r="42" spans="2:9" ht="73.5" customHeight="1" x14ac:dyDescent="0.35">
      <c r="B42" s="77"/>
      <c r="C42" s="77"/>
      <c r="D42" s="77"/>
      <c r="E42" s="77"/>
      <c r="F42" s="77"/>
      <c r="G42" s="77"/>
      <c r="H42" s="77"/>
      <c r="I42" s="77"/>
    </row>
    <row r="43" spans="2:9" ht="15" customHeight="1" x14ac:dyDescent="0.35">
      <c r="B43" s="3" t="s">
        <v>53</v>
      </c>
      <c r="C43" s="3"/>
      <c r="D43" s="3"/>
      <c r="E43" s="3"/>
      <c r="F43" s="3"/>
      <c r="G43" s="3"/>
      <c r="H43" s="3"/>
      <c r="I43" s="3"/>
    </row>
    <row r="44" spans="2:9" ht="15" customHeight="1" x14ac:dyDescent="0.35">
      <c r="B44" s="33" t="s">
        <v>54</v>
      </c>
      <c r="C44" s="34" t="s">
        <v>55</v>
      </c>
      <c r="D44" s="34" t="s">
        <v>56</v>
      </c>
      <c r="E44" s="34" t="s">
        <v>57</v>
      </c>
      <c r="F44" s="34" t="s">
        <v>58</v>
      </c>
      <c r="G44" s="78" t="s">
        <v>59</v>
      </c>
      <c r="H44" s="78"/>
      <c r="I44" s="78"/>
    </row>
    <row r="45" spans="2:9" ht="27.75" customHeight="1" x14ac:dyDescent="0.35">
      <c r="B45" s="35">
        <v>1</v>
      </c>
      <c r="C45" s="36" t="s">
        <v>60</v>
      </c>
      <c r="D45" s="37" t="s">
        <v>61</v>
      </c>
      <c r="E45" s="38"/>
      <c r="F45" s="38"/>
      <c r="G45" s="79"/>
      <c r="H45" s="79"/>
      <c r="I45" s="79"/>
    </row>
    <row r="46" spans="2:9" ht="27.75" customHeight="1" x14ac:dyDescent="0.35">
      <c r="B46" s="35">
        <v>2</v>
      </c>
      <c r="C46" s="36" t="s">
        <v>62</v>
      </c>
      <c r="D46" s="38"/>
      <c r="E46" s="38"/>
      <c r="F46" s="38"/>
      <c r="G46" s="80" t="s">
        <v>63</v>
      </c>
      <c r="H46" s="80"/>
      <c r="I46" s="80"/>
    </row>
    <row r="47" spans="2:9" ht="54" customHeight="1" x14ac:dyDescent="0.35">
      <c r="B47" s="39">
        <v>3</v>
      </c>
      <c r="C47" s="18" t="s">
        <v>62</v>
      </c>
      <c r="D47" s="38"/>
      <c r="E47" s="38"/>
      <c r="F47" s="38"/>
      <c r="G47" s="77" t="s">
        <v>64</v>
      </c>
      <c r="H47" s="77"/>
      <c r="I47" s="77"/>
    </row>
    <row r="48" spans="2:9" ht="15" customHeight="1" x14ac:dyDescent="0.35">
      <c r="B48" s="40"/>
      <c r="C48" s="38"/>
      <c r="D48" s="38"/>
      <c r="E48" s="38"/>
      <c r="F48" s="38"/>
      <c r="G48" s="79"/>
      <c r="H48" s="79"/>
      <c r="I48" s="79"/>
    </row>
    <row r="49" spans="2:9" ht="15" customHeight="1" x14ac:dyDescent="0.35">
      <c r="B49" s="40"/>
      <c r="C49" s="38"/>
      <c r="D49" s="38"/>
      <c r="E49" s="38"/>
      <c r="F49" s="38"/>
      <c r="G49" s="79"/>
      <c r="H49" s="79"/>
      <c r="I49" s="79"/>
    </row>
    <row r="50" spans="2:9" ht="15.75" customHeight="1" x14ac:dyDescent="0.35">
      <c r="B50" s="41"/>
      <c r="C50" s="42"/>
      <c r="D50" s="42"/>
      <c r="E50" s="42"/>
      <c r="F50" s="42"/>
      <c r="G50" s="81"/>
      <c r="H50" s="81"/>
      <c r="I50" s="81"/>
    </row>
  </sheetData>
  <mergeCells count="40">
    <mergeCell ref="G48:I48"/>
    <mergeCell ref="G49:I49"/>
    <mergeCell ref="G50:I50"/>
    <mergeCell ref="B43:I43"/>
    <mergeCell ref="G44:I44"/>
    <mergeCell ref="G45:I45"/>
    <mergeCell ref="G46:I46"/>
    <mergeCell ref="G47:I47"/>
    <mergeCell ref="B35:I35"/>
    <mergeCell ref="B36:E36"/>
    <mergeCell ref="F36:I36"/>
    <mergeCell ref="B37:E42"/>
    <mergeCell ref="F37:I42"/>
    <mergeCell ref="B27:I27"/>
    <mergeCell ref="B28:I32"/>
    <mergeCell ref="B33:E33"/>
    <mergeCell ref="F33:I33"/>
    <mergeCell ref="B34:E34"/>
    <mergeCell ref="F34:G34"/>
    <mergeCell ref="E19:F19"/>
    <mergeCell ref="H19:I19"/>
    <mergeCell ref="B20:C26"/>
    <mergeCell ref="D20:F26"/>
    <mergeCell ref="G20:I26"/>
    <mergeCell ref="B13:C13"/>
    <mergeCell ref="D13:I13"/>
    <mergeCell ref="B14:I14"/>
    <mergeCell ref="B15:I17"/>
    <mergeCell ref="B18:I18"/>
    <mergeCell ref="H8:I8"/>
    <mergeCell ref="E9:F9"/>
    <mergeCell ref="H9:I9"/>
    <mergeCell ref="B11:I11"/>
    <mergeCell ref="B12:C12"/>
    <mergeCell ref="D12:I12"/>
    <mergeCell ref="B2:B3"/>
    <mergeCell ref="C2:H3"/>
    <mergeCell ref="B4:H4"/>
    <mergeCell ref="B5:I5"/>
    <mergeCell ref="B6:I6"/>
  </mergeCells>
  <pageMargins left="0.25" right="0.25"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29"/>
  <sheetViews>
    <sheetView showGridLines="0" zoomScaleNormal="100" workbookViewId="0">
      <pane ySplit="2" topLeftCell="A3" activePane="bottomLeft" state="frozen"/>
      <selection pane="bottomLeft"/>
    </sheetView>
  </sheetViews>
  <sheetFormatPr baseColWidth="10" defaultColWidth="8.6328125" defaultRowHeight="14.5" x14ac:dyDescent="0.35"/>
  <cols>
    <col min="1" max="1" width="6" style="43" customWidth="1"/>
    <col min="2" max="2" width="7" style="43" customWidth="1"/>
    <col min="3" max="3" width="24" style="43" customWidth="1"/>
    <col min="4" max="4" width="44" style="43" customWidth="1"/>
    <col min="5" max="5" width="32" style="43" customWidth="1"/>
    <col min="6" max="6" width="24" style="43" customWidth="1"/>
    <col min="7" max="7" width="26" style="43" customWidth="1"/>
  </cols>
  <sheetData>
    <row r="1" spans="1:8" ht="33.75" customHeight="1" x14ac:dyDescent="0.35">
      <c r="A1" s="82" t="s">
        <v>65</v>
      </c>
      <c r="B1" s="82"/>
      <c r="C1" s="82"/>
      <c r="D1" s="82"/>
      <c r="E1" s="82"/>
      <c r="F1" s="82"/>
      <c r="G1" s="82"/>
      <c r="H1" s="82"/>
    </row>
    <row r="2" spans="1:8" ht="25.5" customHeight="1" x14ac:dyDescent="0.35">
      <c r="A2" s="44" t="s">
        <v>66</v>
      </c>
      <c r="B2" s="44" t="s">
        <v>67</v>
      </c>
      <c r="C2" s="44" t="s">
        <v>68</v>
      </c>
      <c r="D2" s="44" t="s">
        <v>69</v>
      </c>
      <c r="E2" s="44" t="s">
        <v>70</v>
      </c>
      <c r="F2" s="44" t="s">
        <v>71</v>
      </c>
      <c r="G2" s="44" t="s">
        <v>72</v>
      </c>
    </row>
    <row r="3" spans="1:8" ht="66" customHeight="1" x14ac:dyDescent="0.35">
      <c r="A3" s="45">
        <v>1</v>
      </c>
      <c r="B3" s="45">
        <v>1</v>
      </c>
      <c r="C3" s="46" t="s">
        <v>73</v>
      </c>
      <c r="D3" s="46" t="s">
        <v>74</v>
      </c>
      <c r="E3" s="46" t="s">
        <v>75</v>
      </c>
      <c r="F3" s="46" t="s">
        <v>76</v>
      </c>
      <c r="G3" s="46" t="s">
        <v>77</v>
      </c>
    </row>
    <row r="4" spans="1:8" ht="66" customHeight="1" x14ac:dyDescent="0.35">
      <c r="A4" s="45">
        <v>1</v>
      </c>
      <c r="B4" s="45">
        <v>2</v>
      </c>
      <c r="C4" s="46" t="s">
        <v>78</v>
      </c>
      <c r="D4" s="46" t="s">
        <v>79</v>
      </c>
      <c r="E4" s="46" t="s">
        <v>80</v>
      </c>
      <c r="F4" s="46" t="s">
        <v>81</v>
      </c>
      <c r="G4" s="46" t="s">
        <v>82</v>
      </c>
    </row>
    <row r="5" spans="1:8" ht="66" customHeight="1" x14ac:dyDescent="0.35">
      <c r="A5" s="45">
        <v>1</v>
      </c>
      <c r="B5" s="45">
        <v>3</v>
      </c>
      <c r="C5" s="46" t="s">
        <v>83</v>
      </c>
      <c r="D5" s="46" t="s">
        <v>84</v>
      </c>
      <c r="E5" s="46" t="s">
        <v>85</v>
      </c>
      <c r="F5" s="46" t="s">
        <v>86</v>
      </c>
      <c r="G5" s="46" t="s">
        <v>87</v>
      </c>
    </row>
    <row r="6" spans="1:8" ht="66" customHeight="1" x14ac:dyDescent="0.35">
      <c r="A6" s="45">
        <v>2</v>
      </c>
      <c r="B6" s="45">
        <v>4</v>
      </c>
      <c r="C6" s="46" t="s">
        <v>88</v>
      </c>
      <c r="D6" s="46" t="s">
        <v>89</v>
      </c>
      <c r="E6" s="46" t="s">
        <v>90</v>
      </c>
      <c r="F6" s="46" t="s">
        <v>91</v>
      </c>
      <c r="G6" s="46" t="s">
        <v>92</v>
      </c>
    </row>
    <row r="7" spans="1:8" ht="66" customHeight="1" x14ac:dyDescent="0.35">
      <c r="A7" s="45">
        <v>2</v>
      </c>
      <c r="B7" s="45">
        <v>5</v>
      </c>
      <c r="C7" s="46" t="s">
        <v>93</v>
      </c>
      <c r="D7" s="46" t="s">
        <v>94</v>
      </c>
      <c r="E7" s="46" t="s">
        <v>95</v>
      </c>
      <c r="F7" s="46" t="s">
        <v>96</v>
      </c>
      <c r="G7" s="46" t="s">
        <v>97</v>
      </c>
    </row>
    <row r="8" spans="1:8" ht="66" customHeight="1" x14ac:dyDescent="0.35">
      <c r="A8" s="45">
        <v>2</v>
      </c>
      <c r="B8" s="45">
        <v>6</v>
      </c>
      <c r="C8" s="46" t="s">
        <v>98</v>
      </c>
      <c r="D8" s="46" t="s">
        <v>99</v>
      </c>
      <c r="E8" s="46" t="s">
        <v>100</v>
      </c>
      <c r="F8" s="46" t="s">
        <v>101</v>
      </c>
      <c r="G8" s="46" t="s">
        <v>102</v>
      </c>
    </row>
    <row r="9" spans="1:8" ht="66" customHeight="1" x14ac:dyDescent="0.35">
      <c r="A9" s="47">
        <v>3</v>
      </c>
      <c r="B9" s="47">
        <v>7</v>
      </c>
      <c r="C9" s="48" t="s">
        <v>103</v>
      </c>
      <c r="D9" s="48" t="s">
        <v>104</v>
      </c>
      <c r="E9" s="48" t="s">
        <v>105</v>
      </c>
      <c r="F9" s="49" t="s">
        <v>106</v>
      </c>
      <c r="G9" s="48" t="s">
        <v>107</v>
      </c>
    </row>
    <row r="10" spans="1:8" ht="66" customHeight="1" x14ac:dyDescent="0.35">
      <c r="A10" s="47">
        <v>3</v>
      </c>
      <c r="B10" s="47">
        <v>8</v>
      </c>
      <c r="C10" s="48" t="s">
        <v>108</v>
      </c>
      <c r="D10" s="48" t="s">
        <v>109</v>
      </c>
      <c r="E10" s="48" t="s">
        <v>110</v>
      </c>
      <c r="F10" s="48" t="s">
        <v>111</v>
      </c>
      <c r="G10" s="48" t="s">
        <v>112</v>
      </c>
    </row>
    <row r="11" spans="1:8" ht="66" customHeight="1" x14ac:dyDescent="0.35">
      <c r="A11" s="50">
        <v>3</v>
      </c>
      <c r="B11" s="50">
        <v>9</v>
      </c>
      <c r="C11" s="51" t="s">
        <v>113</v>
      </c>
      <c r="D11" s="51" t="s">
        <v>114</v>
      </c>
      <c r="E11" s="51" t="s">
        <v>115</v>
      </c>
      <c r="F11" s="51" t="s">
        <v>116</v>
      </c>
      <c r="G11" s="51" t="s">
        <v>117</v>
      </c>
    </row>
    <row r="12" spans="1:8" ht="66" customHeight="1" x14ac:dyDescent="0.35">
      <c r="A12" s="50">
        <v>4</v>
      </c>
      <c r="B12" s="50">
        <v>10</v>
      </c>
      <c r="C12" s="51" t="s">
        <v>118</v>
      </c>
      <c r="D12" s="51" t="s">
        <v>119</v>
      </c>
      <c r="E12" s="51" t="s">
        <v>120</v>
      </c>
      <c r="F12" s="51" t="s">
        <v>121</v>
      </c>
      <c r="G12" s="51" t="s">
        <v>122</v>
      </c>
    </row>
    <row r="13" spans="1:8" ht="66" customHeight="1" x14ac:dyDescent="0.35">
      <c r="A13" s="50">
        <v>4</v>
      </c>
      <c r="B13" s="50">
        <v>11</v>
      </c>
      <c r="C13" s="51" t="s">
        <v>123</v>
      </c>
      <c r="D13" s="51" t="s">
        <v>124</v>
      </c>
      <c r="E13" s="51" t="s">
        <v>125</v>
      </c>
      <c r="F13" s="51" t="s">
        <v>126</v>
      </c>
      <c r="G13" s="51" t="s">
        <v>127</v>
      </c>
    </row>
    <row r="14" spans="1:8" ht="66" customHeight="1" x14ac:dyDescent="0.35">
      <c r="A14" s="50">
        <v>4</v>
      </c>
      <c r="B14" s="50">
        <v>12</v>
      </c>
      <c r="C14" s="51" t="s">
        <v>128</v>
      </c>
      <c r="D14" s="51" t="s">
        <v>129</v>
      </c>
      <c r="E14" s="51" t="s">
        <v>130</v>
      </c>
      <c r="F14" s="51" t="s">
        <v>131</v>
      </c>
      <c r="G14" s="51" t="s">
        <v>132</v>
      </c>
    </row>
    <row r="15" spans="1:8" ht="66" customHeight="1" x14ac:dyDescent="0.35">
      <c r="A15" s="50">
        <v>5</v>
      </c>
      <c r="B15" s="50">
        <v>13</v>
      </c>
      <c r="C15" s="51" t="s">
        <v>133</v>
      </c>
      <c r="D15" s="51" t="s">
        <v>134</v>
      </c>
      <c r="E15" s="51" t="s">
        <v>135</v>
      </c>
      <c r="F15" s="51" t="s">
        <v>116</v>
      </c>
      <c r="G15" s="51" t="s">
        <v>136</v>
      </c>
    </row>
    <row r="16" spans="1:8" ht="66" customHeight="1" x14ac:dyDescent="0.35">
      <c r="A16" s="50">
        <v>5</v>
      </c>
      <c r="B16" s="50">
        <v>14</v>
      </c>
      <c r="C16" s="51" t="s">
        <v>137</v>
      </c>
      <c r="D16" s="51" t="s">
        <v>138</v>
      </c>
      <c r="E16" s="51" t="s">
        <v>139</v>
      </c>
      <c r="F16" s="51" t="s">
        <v>140</v>
      </c>
      <c r="G16" s="51" t="s">
        <v>141</v>
      </c>
    </row>
    <row r="17" spans="1:7" ht="66" customHeight="1" x14ac:dyDescent="0.35">
      <c r="A17" s="50">
        <v>5</v>
      </c>
      <c r="B17" s="50">
        <v>15</v>
      </c>
      <c r="C17" s="51" t="s">
        <v>142</v>
      </c>
      <c r="D17" s="51" t="s">
        <v>143</v>
      </c>
      <c r="E17" s="51" t="s">
        <v>144</v>
      </c>
      <c r="F17" s="51" t="s">
        <v>116</v>
      </c>
      <c r="G17" s="51" t="s">
        <v>145</v>
      </c>
    </row>
    <row r="18" spans="1:7" ht="66" customHeight="1" x14ac:dyDescent="0.35">
      <c r="A18" s="50">
        <v>6</v>
      </c>
      <c r="B18" s="50">
        <v>16</v>
      </c>
      <c r="C18" s="51" t="s">
        <v>146</v>
      </c>
      <c r="D18" s="51" t="s">
        <v>147</v>
      </c>
      <c r="E18" s="51" t="s">
        <v>148</v>
      </c>
      <c r="F18" s="51" t="s">
        <v>149</v>
      </c>
      <c r="G18" s="51" t="s">
        <v>150</v>
      </c>
    </row>
    <row r="19" spans="1:7" ht="66" customHeight="1" x14ac:dyDescent="0.35">
      <c r="A19" s="50">
        <v>6</v>
      </c>
      <c r="B19" s="50">
        <v>17</v>
      </c>
      <c r="C19" s="51" t="s">
        <v>151</v>
      </c>
      <c r="D19" s="51" t="s">
        <v>152</v>
      </c>
      <c r="E19" s="51" t="s">
        <v>153</v>
      </c>
      <c r="F19" s="51" t="s">
        <v>116</v>
      </c>
      <c r="G19" s="51" t="s">
        <v>154</v>
      </c>
    </row>
    <row r="20" spans="1:7" ht="66" customHeight="1" x14ac:dyDescent="0.35">
      <c r="A20" s="50">
        <v>6</v>
      </c>
      <c r="B20" s="50">
        <v>18</v>
      </c>
      <c r="C20" s="51" t="s">
        <v>155</v>
      </c>
      <c r="D20" s="51" t="s">
        <v>156</v>
      </c>
      <c r="E20" s="51" t="s">
        <v>157</v>
      </c>
      <c r="F20" s="51" t="s">
        <v>158</v>
      </c>
      <c r="G20" s="51" t="s">
        <v>159</v>
      </c>
    </row>
    <row r="21" spans="1:7" ht="66" customHeight="1" x14ac:dyDescent="0.35">
      <c r="A21" s="50">
        <v>7</v>
      </c>
      <c r="B21" s="50">
        <v>19</v>
      </c>
      <c r="C21" s="51" t="s">
        <v>160</v>
      </c>
      <c r="D21" s="51" t="s">
        <v>161</v>
      </c>
      <c r="E21" s="51" t="s">
        <v>162</v>
      </c>
      <c r="F21" s="51" t="s">
        <v>116</v>
      </c>
      <c r="G21" s="51" t="s">
        <v>163</v>
      </c>
    </row>
    <row r="22" spans="1:7" ht="66" customHeight="1" x14ac:dyDescent="0.35">
      <c r="A22" s="50">
        <v>7</v>
      </c>
      <c r="B22" s="50">
        <v>20</v>
      </c>
      <c r="C22" s="51" t="s">
        <v>164</v>
      </c>
      <c r="D22" s="51" t="s">
        <v>165</v>
      </c>
      <c r="E22" s="51" t="s">
        <v>166</v>
      </c>
      <c r="F22" s="51" t="s">
        <v>167</v>
      </c>
      <c r="G22" s="51" t="s">
        <v>168</v>
      </c>
    </row>
    <row r="23" spans="1:7" ht="66" customHeight="1" x14ac:dyDescent="0.35">
      <c r="A23" s="50">
        <v>7</v>
      </c>
      <c r="B23" s="50">
        <v>21</v>
      </c>
      <c r="C23" s="51" t="s">
        <v>169</v>
      </c>
      <c r="D23" s="51" t="s">
        <v>170</v>
      </c>
      <c r="E23" s="51" t="s">
        <v>171</v>
      </c>
      <c r="F23" s="51" t="s">
        <v>172</v>
      </c>
      <c r="G23" s="51" t="s">
        <v>173</v>
      </c>
    </row>
    <row r="24" spans="1:7" ht="66" customHeight="1" x14ac:dyDescent="0.35">
      <c r="A24" s="50">
        <v>8</v>
      </c>
      <c r="B24" s="50">
        <v>22</v>
      </c>
      <c r="C24" s="51" t="s">
        <v>174</v>
      </c>
      <c r="D24" s="51" t="s">
        <v>175</v>
      </c>
      <c r="E24" s="51" t="s">
        <v>176</v>
      </c>
      <c r="F24" s="51" t="s">
        <v>177</v>
      </c>
      <c r="G24" s="51" t="s">
        <v>178</v>
      </c>
    </row>
    <row r="25" spans="1:7" ht="66" customHeight="1" x14ac:dyDescent="0.35">
      <c r="A25" s="50">
        <v>8</v>
      </c>
      <c r="B25" s="50">
        <v>23</v>
      </c>
      <c r="C25" s="51" t="s">
        <v>179</v>
      </c>
      <c r="D25" s="51" t="s">
        <v>180</v>
      </c>
      <c r="E25" s="51" t="s">
        <v>181</v>
      </c>
      <c r="F25" s="51" t="s">
        <v>182</v>
      </c>
      <c r="G25" s="51" t="s">
        <v>183</v>
      </c>
    </row>
    <row r="26" spans="1:7" ht="66" customHeight="1" x14ac:dyDescent="0.35">
      <c r="A26" s="50">
        <v>8</v>
      </c>
      <c r="B26" s="50">
        <v>24</v>
      </c>
      <c r="C26" s="51" t="s">
        <v>184</v>
      </c>
      <c r="D26" s="51" t="s">
        <v>185</v>
      </c>
      <c r="E26" s="51" t="s">
        <v>186</v>
      </c>
      <c r="F26" s="51" t="s">
        <v>187</v>
      </c>
      <c r="G26" s="51" t="s">
        <v>112</v>
      </c>
    </row>
    <row r="27" spans="1:7" ht="66" customHeight="1" x14ac:dyDescent="0.35">
      <c r="A27" s="47">
        <v>9</v>
      </c>
      <c r="B27" s="47">
        <v>25</v>
      </c>
      <c r="C27" s="51" t="s">
        <v>188</v>
      </c>
      <c r="D27" s="48" t="s">
        <v>189</v>
      </c>
      <c r="E27" s="48" t="s">
        <v>190</v>
      </c>
      <c r="F27" s="49" t="s">
        <v>191</v>
      </c>
      <c r="G27" s="48" t="s">
        <v>192</v>
      </c>
    </row>
    <row r="28" spans="1:7" ht="66" customHeight="1" x14ac:dyDescent="0.35">
      <c r="A28" s="47">
        <v>9</v>
      </c>
      <c r="B28" s="47">
        <v>26</v>
      </c>
      <c r="C28" s="48" t="s">
        <v>193</v>
      </c>
      <c r="D28" s="48" t="s">
        <v>194</v>
      </c>
      <c r="E28" s="48" t="s">
        <v>195</v>
      </c>
      <c r="F28" s="49" t="s">
        <v>196</v>
      </c>
      <c r="G28" s="48" t="s">
        <v>197</v>
      </c>
    </row>
    <row r="29" spans="1:7" ht="66" customHeight="1" x14ac:dyDescent="0.35">
      <c r="A29" s="47">
        <v>9</v>
      </c>
      <c r="B29" s="47">
        <v>27</v>
      </c>
      <c r="C29" s="48" t="s">
        <v>198</v>
      </c>
      <c r="D29" s="48" t="s">
        <v>199</v>
      </c>
      <c r="E29" s="48" t="s">
        <v>200</v>
      </c>
      <c r="F29" s="48" t="s">
        <v>201</v>
      </c>
      <c r="G29" s="48" t="s">
        <v>202</v>
      </c>
    </row>
  </sheetData>
  <mergeCells count="1">
    <mergeCell ref="A1:H1"/>
  </mergeCell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
  <sheetViews>
    <sheetView showGridLines="0" zoomScaleNormal="100" workbookViewId="0"/>
  </sheetViews>
  <sheetFormatPr baseColWidth="10" defaultColWidth="8.6328125" defaultRowHeight="14.5" x14ac:dyDescent="0.35"/>
  <cols>
    <col min="1" max="1" width="18" style="43" customWidth="1"/>
    <col min="2" max="3" width="30" style="43" customWidth="1"/>
    <col min="4" max="4" width="28" style="43" customWidth="1"/>
    <col min="5" max="6" width="26" style="43" customWidth="1"/>
  </cols>
  <sheetData>
    <row r="1" spans="1:6" ht="25.5" customHeight="1" x14ac:dyDescent="0.35">
      <c r="A1" s="83" t="s">
        <v>203</v>
      </c>
      <c r="B1" s="83"/>
      <c r="C1" s="83"/>
      <c r="D1" s="83"/>
      <c r="E1" s="83"/>
      <c r="F1" s="83"/>
    </row>
    <row r="2" spans="1:6" ht="15" customHeight="1" x14ac:dyDescent="0.35">
      <c r="A2" s="44" t="s">
        <v>204</v>
      </c>
      <c r="B2" s="44" t="s">
        <v>205</v>
      </c>
      <c r="C2" s="44" t="s">
        <v>206</v>
      </c>
      <c r="D2" s="44" t="s">
        <v>207</v>
      </c>
      <c r="E2" s="44" t="s">
        <v>208</v>
      </c>
      <c r="F2" s="44" t="s">
        <v>209</v>
      </c>
    </row>
    <row r="3" spans="1:6" ht="19.5" customHeight="1" x14ac:dyDescent="0.35">
      <c r="A3" s="84" t="s">
        <v>210</v>
      </c>
      <c r="B3" s="84"/>
      <c r="C3" s="84"/>
      <c r="D3" s="84"/>
      <c r="E3" s="84"/>
      <c r="F3" s="84"/>
    </row>
    <row r="4" spans="1:6" ht="48" customHeight="1" x14ac:dyDescent="0.35">
      <c r="A4" s="52" t="s">
        <v>211</v>
      </c>
      <c r="B4" s="53" t="s">
        <v>212</v>
      </c>
      <c r="C4" s="53" t="s">
        <v>213</v>
      </c>
      <c r="D4" s="53" t="s">
        <v>214</v>
      </c>
      <c r="E4" s="53" t="s">
        <v>215</v>
      </c>
      <c r="F4" s="53" t="s">
        <v>216</v>
      </c>
    </row>
    <row r="5" spans="1:6" ht="48" customHeight="1" x14ac:dyDescent="0.35">
      <c r="A5" s="52" t="s">
        <v>217</v>
      </c>
      <c r="B5" s="53" t="s">
        <v>218</v>
      </c>
      <c r="C5" s="53" t="s">
        <v>219</v>
      </c>
      <c r="D5" s="53" t="s">
        <v>220</v>
      </c>
      <c r="E5" s="53" t="s">
        <v>221</v>
      </c>
      <c r="F5" s="53" t="s">
        <v>222</v>
      </c>
    </row>
    <row r="6" spans="1:6" ht="48" customHeight="1" x14ac:dyDescent="0.35">
      <c r="A6" s="52" t="s">
        <v>223</v>
      </c>
      <c r="B6" s="53" t="s">
        <v>224</v>
      </c>
      <c r="C6" s="53" t="s">
        <v>225</v>
      </c>
      <c r="D6" s="53" t="s">
        <v>226</v>
      </c>
      <c r="E6" s="53" t="s">
        <v>227</v>
      </c>
      <c r="F6" s="53" t="s">
        <v>228</v>
      </c>
    </row>
    <row r="7" spans="1:6" ht="19.5" customHeight="1" x14ac:dyDescent="0.35">
      <c r="A7" s="84" t="s">
        <v>229</v>
      </c>
      <c r="B7" s="84"/>
      <c r="C7" s="84"/>
      <c r="D7" s="84"/>
      <c r="E7" s="84"/>
      <c r="F7" s="84"/>
    </row>
    <row r="8" spans="1:6" ht="48" customHeight="1" x14ac:dyDescent="0.35">
      <c r="A8" s="52" t="s">
        <v>230</v>
      </c>
      <c r="B8" s="53" t="s">
        <v>231</v>
      </c>
      <c r="C8" s="53" t="s">
        <v>232</v>
      </c>
      <c r="D8" s="53" t="s">
        <v>233</v>
      </c>
      <c r="E8" s="53" t="s">
        <v>234</v>
      </c>
      <c r="F8" s="53" t="s">
        <v>235</v>
      </c>
    </row>
    <row r="9" spans="1:6" ht="48" customHeight="1" x14ac:dyDescent="0.35">
      <c r="A9" s="52" t="s">
        <v>236</v>
      </c>
      <c r="B9" s="53" t="s">
        <v>237</v>
      </c>
      <c r="C9" s="53" t="s">
        <v>238</v>
      </c>
      <c r="D9" s="53" t="s">
        <v>239</v>
      </c>
      <c r="E9" s="53" t="s">
        <v>240</v>
      </c>
      <c r="F9" s="53" t="s">
        <v>241</v>
      </c>
    </row>
    <row r="10" spans="1:6" ht="48" customHeight="1" x14ac:dyDescent="0.35">
      <c r="A10" s="52" t="s">
        <v>242</v>
      </c>
      <c r="B10" s="53" t="s">
        <v>243</v>
      </c>
      <c r="C10" s="53" t="s">
        <v>244</v>
      </c>
      <c r="D10" s="53" t="s">
        <v>245</v>
      </c>
      <c r="E10" s="53" t="s">
        <v>246</v>
      </c>
      <c r="F10" s="53" t="s">
        <v>247</v>
      </c>
    </row>
  </sheetData>
  <mergeCells count="3">
    <mergeCell ref="A1:F1"/>
    <mergeCell ref="A3:F3"/>
    <mergeCell ref="A7:F7"/>
  </mergeCell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20"/>
  <sheetViews>
    <sheetView showGridLines="0" zoomScaleNormal="100" workbookViewId="0">
      <pane ySplit="2" topLeftCell="A3" activePane="bottomLeft" state="frozen"/>
      <selection pane="bottomLeft"/>
    </sheetView>
  </sheetViews>
  <sheetFormatPr baseColWidth="10" defaultColWidth="8.6328125" defaultRowHeight="14.5" x14ac:dyDescent="0.35"/>
  <cols>
    <col min="1" max="1" width="48" style="43" customWidth="1"/>
    <col min="2" max="2" width="16" style="43" customWidth="1"/>
    <col min="3" max="3" width="24" style="43" customWidth="1"/>
    <col min="4" max="4" width="16" style="43" customWidth="1"/>
    <col min="5" max="5" width="52" style="43" customWidth="1"/>
  </cols>
  <sheetData>
    <row r="1" spans="1:5" ht="27.75" customHeight="1" x14ac:dyDescent="0.35">
      <c r="A1" s="82" t="s">
        <v>248</v>
      </c>
      <c r="B1" s="82"/>
      <c r="C1" s="82"/>
      <c r="D1" s="82"/>
      <c r="E1" s="82"/>
    </row>
    <row r="2" spans="1:5" ht="23.25" customHeight="1" x14ac:dyDescent="0.35">
      <c r="A2" s="44" t="s">
        <v>249</v>
      </c>
      <c r="B2" s="44" t="s">
        <v>250</v>
      </c>
      <c r="C2" s="44" t="s">
        <v>251</v>
      </c>
      <c r="D2" s="44" t="s">
        <v>252</v>
      </c>
      <c r="E2" s="44" t="s">
        <v>253</v>
      </c>
    </row>
    <row r="3" spans="1:5" ht="49.5" customHeight="1" x14ac:dyDescent="0.35">
      <c r="A3" s="54" t="s">
        <v>254</v>
      </c>
      <c r="B3" s="46" t="s">
        <v>255</v>
      </c>
      <c r="C3" s="55" t="s">
        <v>256</v>
      </c>
      <c r="D3" s="46" t="s">
        <v>257</v>
      </c>
      <c r="E3" s="46" t="s">
        <v>258</v>
      </c>
    </row>
    <row r="4" spans="1:5" ht="49.5" customHeight="1" x14ac:dyDescent="0.35">
      <c r="A4" s="54" t="s">
        <v>259</v>
      </c>
      <c r="B4" s="46" t="s">
        <v>255</v>
      </c>
      <c r="C4" s="55" t="s">
        <v>260</v>
      </c>
      <c r="D4" s="46" t="s">
        <v>261</v>
      </c>
      <c r="E4" s="46" t="s">
        <v>262</v>
      </c>
    </row>
    <row r="5" spans="1:5" ht="49.5" customHeight="1" x14ac:dyDescent="0.35">
      <c r="A5" s="52" t="s">
        <v>263</v>
      </c>
      <c r="B5" s="53" t="s">
        <v>255</v>
      </c>
      <c r="C5" s="56" t="s">
        <v>264</v>
      </c>
      <c r="D5" s="53" t="s">
        <v>265</v>
      </c>
      <c r="E5" s="53" t="s">
        <v>266</v>
      </c>
    </row>
    <row r="6" spans="1:5" ht="49.5" customHeight="1" x14ac:dyDescent="0.35">
      <c r="A6" s="52" t="s">
        <v>267</v>
      </c>
      <c r="B6" s="53" t="s">
        <v>255</v>
      </c>
      <c r="C6" s="56" t="s">
        <v>268</v>
      </c>
      <c r="D6" s="53" t="s">
        <v>269</v>
      </c>
      <c r="E6" s="53" t="s">
        <v>270</v>
      </c>
    </row>
    <row r="7" spans="1:5" ht="49.5" customHeight="1" x14ac:dyDescent="0.35">
      <c r="A7" s="52" t="s">
        <v>271</v>
      </c>
      <c r="B7" s="53" t="s">
        <v>255</v>
      </c>
      <c r="C7" s="56" t="s">
        <v>272</v>
      </c>
      <c r="D7" s="53" t="s">
        <v>273</v>
      </c>
      <c r="E7" s="53" t="s">
        <v>274</v>
      </c>
    </row>
    <row r="8" spans="1:5" ht="49.5" customHeight="1" x14ac:dyDescent="0.35">
      <c r="A8" s="54" t="s">
        <v>275</v>
      </c>
      <c r="B8" s="46" t="s">
        <v>276</v>
      </c>
      <c r="C8" s="55" t="s">
        <v>277</v>
      </c>
      <c r="D8" s="46" t="s">
        <v>278</v>
      </c>
      <c r="E8" s="46" t="s">
        <v>279</v>
      </c>
    </row>
    <row r="9" spans="1:5" ht="49.5" customHeight="1" x14ac:dyDescent="0.35">
      <c r="A9" s="54" t="s">
        <v>280</v>
      </c>
      <c r="B9" s="46" t="s">
        <v>276</v>
      </c>
      <c r="C9" s="55" t="s">
        <v>281</v>
      </c>
      <c r="D9" s="46" t="s">
        <v>282</v>
      </c>
      <c r="E9" s="46" t="s">
        <v>283</v>
      </c>
    </row>
    <row r="10" spans="1:5" ht="49.5" customHeight="1" x14ac:dyDescent="0.35">
      <c r="A10" s="54" t="s">
        <v>284</v>
      </c>
      <c r="B10" s="46" t="s">
        <v>276</v>
      </c>
      <c r="C10" s="55" t="s">
        <v>285</v>
      </c>
      <c r="D10" s="46" t="s">
        <v>286</v>
      </c>
      <c r="E10" s="46" t="s">
        <v>287</v>
      </c>
    </row>
    <row r="11" spans="1:5" ht="49.5" customHeight="1" x14ac:dyDescent="0.35">
      <c r="A11" s="54" t="s">
        <v>288</v>
      </c>
      <c r="B11" s="46" t="s">
        <v>276</v>
      </c>
      <c r="C11" s="55" t="s">
        <v>289</v>
      </c>
      <c r="D11" s="46" t="s">
        <v>290</v>
      </c>
      <c r="E11" s="46" t="s">
        <v>291</v>
      </c>
    </row>
    <row r="12" spans="1:5" ht="49.5" customHeight="1" x14ac:dyDescent="0.35">
      <c r="A12" s="52" t="s">
        <v>292</v>
      </c>
      <c r="B12" s="53" t="s">
        <v>276</v>
      </c>
      <c r="C12" s="56" t="s">
        <v>293</v>
      </c>
      <c r="D12" s="53" t="s">
        <v>294</v>
      </c>
      <c r="E12" s="53" t="s">
        <v>295</v>
      </c>
    </row>
    <row r="13" spans="1:5" ht="49.5" customHeight="1" x14ac:dyDescent="0.35">
      <c r="A13" s="52" t="s">
        <v>296</v>
      </c>
      <c r="B13" s="53" t="s">
        <v>276</v>
      </c>
      <c r="C13" s="56" t="s">
        <v>297</v>
      </c>
      <c r="D13" s="53" t="s">
        <v>298</v>
      </c>
      <c r="E13" s="53" t="s">
        <v>299</v>
      </c>
    </row>
    <row r="14" spans="1:5" ht="49.5" customHeight="1" x14ac:dyDescent="0.35">
      <c r="A14" s="52" t="s">
        <v>300</v>
      </c>
      <c r="B14" s="53" t="s">
        <v>276</v>
      </c>
      <c r="C14" s="56" t="s">
        <v>301</v>
      </c>
      <c r="D14" s="53" t="s">
        <v>302</v>
      </c>
      <c r="E14" s="53" t="s">
        <v>303</v>
      </c>
    </row>
    <row r="15" spans="1:5" ht="49.5" customHeight="1" x14ac:dyDescent="0.35">
      <c r="A15" s="54" t="s">
        <v>304</v>
      </c>
      <c r="B15" s="46" t="s">
        <v>305</v>
      </c>
      <c r="C15" s="55" t="s">
        <v>306</v>
      </c>
      <c r="D15" s="46" t="s">
        <v>307</v>
      </c>
      <c r="E15" s="46" t="s">
        <v>308</v>
      </c>
    </row>
    <row r="16" spans="1:5" ht="49.5" customHeight="1" x14ac:dyDescent="0.35">
      <c r="A16" s="54" t="s">
        <v>309</v>
      </c>
      <c r="B16" s="46" t="s">
        <v>305</v>
      </c>
      <c r="C16" s="55" t="s">
        <v>310</v>
      </c>
      <c r="D16" s="46" t="s">
        <v>311</v>
      </c>
      <c r="E16" s="46" t="s">
        <v>312</v>
      </c>
    </row>
    <row r="17" spans="1:5" ht="49.5" customHeight="1" x14ac:dyDescent="0.35">
      <c r="A17" s="54" t="s">
        <v>313</v>
      </c>
      <c r="B17" s="46" t="s">
        <v>305</v>
      </c>
      <c r="C17" s="55" t="s">
        <v>314</v>
      </c>
      <c r="D17" s="46" t="s">
        <v>315</v>
      </c>
      <c r="E17" s="46" t="s">
        <v>316</v>
      </c>
    </row>
    <row r="18" spans="1:5" ht="49.5" customHeight="1" x14ac:dyDescent="0.35">
      <c r="A18" s="54" t="s">
        <v>317</v>
      </c>
      <c r="B18" s="46" t="s">
        <v>305</v>
      </c>
      <c r="C18" s="55" t="s">
        <v>318</v>
      </c>
      <c r="D18" s="46" t="s">
        <v>290</v>
      </c>
      <c r="E18" s="46" t="s">
        <v>319</v>
      </c>
    </row>
    <row r="19" spans="1:5" ht="49.5" customHeight="1" x14ac:dyDescent="0.35">
      <c r="A19" s="54" t="s">
        <v>320</v>
      </c>
      <c r="B19" s="46" t="s">
        <v>305</v>
      </c>
      <c r="C19" s="55" t="s">
        <v>321</v>
      </c>
      <c r="D19" s="46" t="s">
        <v>322</v>
      </c>
      <c r="E19" s="46" t="s">
        <v>323</v>
      </c>
    </row>
    <row r="20" spans="1:5" ht="49.5" customHeight="1" x14ac:dyDescent="0.35">
      <c r="A20" s="52" t="s">
        <v>324</v>
      </c>
      <c r="B20" s="53" t="s">
        <v>276</v>
      </c>
      <c r="C20" s="56" t="s">
        <v>325</v>
      </c>
      <c r="D20" s="53" t="s">
        <v>326</v>
      </c>
      <c r="E20" s="53" t="s">
        <v>327</v>
      </c>
    </row>
  </sheetData>
  <mergeCells count="1">
    <mergeCell ref="A1:E1"/>
  </mergeCells>
  <hyperlinks>
    <hyperlink ref="C3" r:id="rId1" xr:uid="{00000000-0004-0000-0300-000000000000}"/>
    <hyperlink ref="C4" r:id="rId2" xr:uid="{00000000-0004-0000-0300-000001000000}"/>
    <hyperlink ref="C5" r:id="rId3" xr:uid="{00000000-0004-0000-0300-000002000000}"/>
    <hyperlink ref="C6" r:id="rId4" xr:uid="{00000000-0004-0000-0300-000003000000}"/>
    <hyperlink ref="C7" r:id="rId5" xr:uid="{00000000-0004-0000-0300-000004000000}"/>
    <hyperlink ref="C8" r:id="rId6" xr:uid="{00000000-0004-0000-0300-000005000000}"/>
    <hyperlink ref="C9" r:id="rId7" xr:uid="{00000000-0004-0000-0300-000006000000}"/>
    <hyperlink ref="C10" r:id="rId8" xr:uid="{00000000-0004-0000-0300-000007000000}"/>
    <hyperlink ref="C11" r:id="rId9" xr:uid="{00000000-0004-0000-0300-000008000000}"/>
    <hyperlink ref="C12" r:id="rId10" xr:uid="{00000000-0004-0000-0300-000009000000}"/>
    <hyperlink ref="C13" r:id="rId11" xr:uid="{00000000-0004-0000-0300-00000A000000}"/>
    <hyperlink ref="C14" r:id="rId12" xr:uid="{00000000-0004-0000-0300-00000B000000}"/>
    <hyperlink ref="C15" r:id="rId13" xr:uid="{00000000-0004-0000-0300-00000C000000}"/>
    <hyperlink ref="C16" r:id="rId14" xr:uid="{00000000-0004-0000-0300-00000D000000}"/>
    <hyperlink ref="C17" r:id="rId15" xr:uid="{00000000-0004-0000-0300-00000E000000}"/>
    <hyperlink ref="C18" r:id="rId16" xr:uid="{00000000-0004-0000-0300-00000F000000}"/>
    <hyperlink ref="C19" r:id="rId17" xr:uid="{00000000-0004-0000-0300-000010000000}"/>
    <hyperlink ref="C20" r:id="rId18" xr:uid="{00000000-0004-0000-0300-000011000000}"/>
  </hyperlink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34"/>
  <sheetViews>
    <sheetView showGridLines="0" zoomScaleNormal="100" workbookViewId="0">
      <pane ySplit="2" topLeftCell="A3" activePane="bottomLeft" state="frozen"/>
      <selection pane="bottomLeft"/>
    </sheetView>
  </sheetViews>
  <sheetFormatPr baseColWidth="10" defaultColWidth="8.6328125" defaultRowHeight="14.5" x14ac:dyDescent="0.35"/>
  <cols>
    <col min="1" max="1" width="44" customWidth="1"/>
    <col min="2" max="2" width="20" customWidth="1"/>
    <col min="3" max="3" width="28" customWidth="1"/>
    <col min="4" max="4" width="34" customWidth="1"/>
    <col min="5" max="5" width="28" customWidth="1"/>
  </cols>
  <sheetData>
    <row r="1" spans="1:5" ht="39.75" customHeight="1" x14ac:dyDescent="0.35">
      <c r="A1" s="82" t="s">
        <v>328</v>
      </c>
      <c r="B1" s="82"/>
      <c r="C1" s="82"/>
      <c r="D1" s="82"/>
      <c r="E1" s="82"/>
    </row>
    <row r="2" spans="1:5" ht="26" x14ac:dyDescent="0.35">
      <c r="A2" s="44" t="s">
        <v>249</v>
      </c>
      <c r="B2" s="44" t="s">
        <v>329</v>
      </c>
      <c r="C2" s="44" t="s">
        <v>330</v>
      </c>
      <c r="D2" s="44" t="s">
        <v>331</v>
      </c>
      <c r="E2" s="44" t="s">
        <v>332</v>
      </c>
    </row>
    <row r="3" spans="1:5" ht="19.5" customHeight="1" x14ac:dyDescent="0.35">
      <c r="A3" s="84" t="s">
        <v>333</v>
      </c>
      <c r="B3" s="84"/>
      <c r="C3" s="84"/>
      <c r="D3" s="84"/>
      <c r="E3" s="84"/>
    </row>
    <row r="4" spans="1:5" ht="42" customHeight="1" x14ac:dyDescent="0.35">
      <c r="A4" s="57" t="s">
        <v>334</v>
      </c>
      <c r="B4" s="58" t="s">
        <v>335</v>
      </c>
      <c r="C4" s="58" t="s">
        <v>336</v>
      </c>
      <c r="D4" s="59" t="s">
        <v>337</v>
      </c>
      <c r="E4" s="58" t="s">
        <v>338</v>
      </c>
    </row>
    <row r="5" spans="1:5" ht="42" customHeight="1" x14ac:dyDescent="0.35">
      <c r="A5" s="57" t="s">
        <v>300</v>
      </c>
      <c r="B5" s="58" t="s">
        <v>339</v>
      </c>
      <c r="C5" s="58" t="s">
        <v>340</v>
      </c>
      <c r="D5" s="59" t="s">
        <v>341</v>
      </c>
      <c r="E5" s="58" t="s">
        <v>342</v>
      </c>
    </row>
    <row r="6" spans="1:5" ht="42" customHeight="1" x14ac:dyDescent="0.35">
      <c r="A6" s="57" t="s">
        <v>343</v>
      </c>
      <c r="B6" s="58" t="s">
        <v>335</v>
      </c>
      <c r="C6" s="58" t="s">
        <v>344</v>
      </c>
      <c r="D6" s="59" t="s">
        <v>337</v>
      </c>
      <c r="E6" s="58" t="s">
        <v>345</v>
      </c>
    </row>
    <row r="7" spans="1:5" ht="42" customHeight="1" x14ac:dyDescent="0.35">
      <c r="A7" s="57" t="s">
        <v>346</v>
      </c>
      <c r="B7" s="58" t="s">
        <v>347</v>
      </c>
      <c r="C7" s="58" t="s">
        <v>348</v>
      </c>
      <c r="D7" s="59" t="s">
        <v>337</v>
      </c>
      <c r="E7" s="58" t="s">
        <v>349</v>
      </c>
    </row>
    <row r="8" spans="1:5" ht="42" customHeight="1" x14ac:dyDescent="0.35">
      <c r="A8" s="57" t="s">
        <v>350</v>
      </c>
      <c r="B8" s="58" t="s">
        <v>351</v>
      </c>
      <c r="C8" s="58" t="s">
        <v>352</v>
      </c>
      <c r="D8" s="59" t="s">
        <v>337</v>
      </c>
      <c r="E8" s="58" t="s">
        <v>353</v>
      </c>
    </row>
    <row r="9" spans="1:5" ht="42" customHeight="1" x14ac:dyDescent="0.35">
      <c r="A9" s="57" t="s">
        <v>354</v>
      </c>
      <c r="B9" s="58" t="s">
        <v>351</v>
      </c>
      <c r="C9" s="58" t="s">
        <v>355</v>
      </c>
      <c r="D9" s="59" t="s">
        <v>337</v>
      </c>
      <c r="E9" s="58" t="s">
        <v>356</v>
      </c>
    </row>
    <row r="10" spans="1:5" ht="42" customHeight="1" x14ac:dyDescent="0.35">
      <c r="A10" s="57" t="s">
        <v>357</v>
      </c>
      <c r="B10" s="58" t="s">
        <v>358</v>
      </c>
      <c r="C10" s="58" t="s">
        <v>359</v>
      </c>
      <c r="D10" s="59" t="s">
        <v>360</v>
      </c>
      <c r="E10" s="58" t="s">
        <v>361</v>
      </c>
    </row>
    <row r="11" spans="1:5" ht="19.5" customHeight="1" x14ac:dyDescent="0.35">
      <c r="A11" s="84" t="s">
        <v>362</v>
      </c>
      <c r="B11" s="84"/>
      <c r="C11" s="84"/>
      <c r="D11" s="84"/>
      <c r="E11" s="84"/>
    </row>
    <row r="12" spans="1:5" ht="42" customHeight="1" x14ac:dyDescent="0.35">
      <c r="A12" s="60" t="s">
        <v>363</v>
      </c>
      <c r="B12" s="61" t="s">
        <v>364</v>
      </c>
      <c r="C12" s="61" t="s">
        <v>365</v>
      </c>
      <c r="D12" s="56" t="s">
        <v>366</v>
      </c>
      <c r="E12" s="61" t="s">
        <v>367</v>
      </c>
    </row>
    <row r="13" spans="1:5" ht="42" customHeight="1" x14ac:dyDescent="0.35">
      <c r="A13" s="60" t="s">
        <v>368</v>
      </c>
      <c r="B13" s="61" t="s">
        <v>364</v>
      </c>
      <c r="C13" s="61" t="s">
        <v>369</v>
      </c>
      <c r="D13" s="56" t="s">
        <v>370</v>
      </c>
      <c r="E13" s="61" t="s">
        <v>371</v>
      </c>
    </row>
    <row r="14" spans="1:5" ht="42" customHeight="1" x14ac:dyDescent="0.35">
      <c r="A14" s="60" t="s">
        <v>372</v>
      </c>
      <c r="B14" s="61" t="s">
        <v>373</v>
      </c>
      <c r="C14" s="61" t="s">
        <v>374</v>
      </c>
      <c r="D14" s="56" t="s">
        <v>375</v>
      </c>
      <c r="E14" s="61" t="s">
        <v>376</v>
      </c>
    </row>
    <row r="15" spans="1:5" ht="42" customHeight="1" x14ac:dyDescent="0.35">
      <c r="A15" s="60" t="s">
        <v>377</v>
      </c>
      <c r="B15" s="61" t="s">
        <v>378</v>
      </c>
      <c r="C15" s="61" t="s">
        <v>379</v>
      </c>
      <c r="D15" s="56" t="s">
        <v>380</v>
      </c>
      <c r="E15" s="61" t="s">
        <v>381</v>
      </c>
    </row>
    <row r="16" spans="1:5" ht="19.5" customHeight="1" x14ac:dyDescent="0.35">
      <c r="A16" s="84" t="s">
        <v>382</v>
      </c>
      <c r="B16" s="84"/>
      <c r="C16" s="84"/>
      <c r="D16" s="84"/>
      <c r="E16" s="84"/>
    </row>
    <row r="17" spans="1:5" ht="42" customHeight="1" x14ac:dyDescent="0.35">
      <c r="A17" s="60" t="s">
        <v>275</v>
      </c>
      <c r="B17" s="61" t="s">
        <v>383</v>
      </c>
      <c r="C17" s="61" t="s">
        <v>384</v>
      </c>
      <c r="D17" s="56" t="s">
        <v>385</v>
      </c>
      <c r="E17" s="61" t="s">
        <v>386</v>
      </c>
    </row>
    <row r="18" spans="1:5" ht="42" customHeight="1" x14ac:dyDescent="0.35">
      <c r="A18" s="60" t="s">
        <v>387</v>
      </c>
      <c r="B18" s="61" t="s">
        <v>383</v>
      </c>
      <c r="C18" s="61" t="s">
        <v>388</v>
      </c>
      <c r="D18" s="56" t="s">
        <v>389</v>
      </c>
      <c r="E18" s="61" t="s">
        <v>390</v>
      </c>
    </row>
    <row r="19" spans="1:5" ht="42" customHeight="1" x14ac:dyDescent="0.35">
      <c r="A19" s="60" t="s">
        <v>391</v>
      </c>
      <c r="B19" s="61" t="s">
        <v>383</v>
      </c>
      <c r="C19" s="61" t="s">
        <v>392</v>
      </c>
      <c r="D19" s="56" t="s">
        <v>393</v>
      </c>
      <c r="E19" s="61" t="s">
        <v>394</v>
      </c>
    </row>
    <row r="20" spans="1:5" ht="42" customHeight="1" x14ac:dyDescent="0.35">
      <c r="A20" s="60" t="s">
        <v>395</v>
      </c>
      <c r="B20" s="61" t="s">
        <v>383</v>
      </c>
      <c r="C20" s="61" t="s">
        <v>396</v>
      </c>
      <c r="D20" s="56" t="s">
        <v>397</v>
      </c>
      <c r="E20" s="61" t="s">
        <v>398</v>
      </c>
    </row>
    <row r="21" spans="1:5" ht="42" customHeight="1" x14ac:dyDescent="0.35">
      <c r="A21" s="60" t="s">
        <v>399</v>
      </c>
      <c r="B21" s="61" t="s">
        <v>383</v>
      </c>
      <c r="C21" s="61" t="s">
        <v>400</v>
      </c>
      <c r="D21" s="56" t="s">
        <v>401</v>
      </c>
      <c r="E21" s="61" t="s">
        <v>402</v>
      </c>
    </row>
    <row r="22" spans="1:5" ht="42" customHeight="1" x14ac:dyDescent="0.35">
      <c r="A22" s="60" t="s">
        <v>320</v>
      </c>
      <c r="B22" s="61" t="s">
        <v>403</v>
      </c>
      <c r="C22" s="61" t="s">
        <v>404</v>
      </c>
      <c r="D22" s="56" t="s">
        <v>405</v>
      </c>
      <c r="E22" s="61" t="s">
        <v>406</v>
      </c>
    </row>
    <row r="23" spans="1:5" ht="19.5" customHeight="1" x14ac:dyDescent="0.35">
      <c r="A23" s="84" t="s">
        <v>407</v>
      </c>
      <c r="B23" s="84"/>
      <c r="C23" s="84"/>
      <c r="D23" s="84"/>
      <c r="E23" s="84"/>
    </row>
    <row r="24" spans="1:5" ht="42" customHeight="1" x14ac:dyDescent="0.35">
      <c r="A24" s="60" t="s">
        <v>408</v>
      </c>
      <c r="B24" s="61" t="s">
        <v>409</v>
      </c>
      <c r="C24" s="61" t="s">
        <v>410</v>
      </c>
      <c r="D24" s="56" t="s">
        <v>411</v>
      </c>
      <c r="E24" s="61" t="s">
        <v>412</v>
      </c>
    </row>
    <row r="25" spans="1:5" ht="42" customHeight="1" x14ac:dyDescent="0.35">
      <c r="A25" s="60" t="s">
        <v>413</v>
      </c>
      <c r="B25" s="61" t="s">
        <v>409</v>
      </c>
      <c r="C25" s="61" t="s">
        <v>414</v>
      </c>
      <c r="D25" s="56" t="s">
        <v>411</v>
      </c>
      <c r="E25" s="61" t="s">
        <v>415</v>
      </c>
    </row>
    <row r="26" spans="1:5" ht="19.5" customHeight="1" x14ac:dyDescent="0.35">
      <c r="A26" s="84" t="s">
        <v>416</v>
      </c>
      <c r="B26" s="84"/>
      <c r="C26" s="84"/>
      <c r="D26" s="84"/>
      <c r="E26" s="84"/>
    </row>
    <row r="27" spans="1:5" ht="42" customHeight="1" x14ac:dyDescent="0.35">
      <c r="A27" s="60" t="s">
        <v>417</v>
      </c>
      <c r="B27" s="61" t="s">
        <v>418</v>
      </c>
      <c r="C27" s="61" t="s">
        <v>419</v>
      </c>
      <c r="D27" s="56" t="s">
        <v>420</v>
      </c>
      <c r="E27" s="61" t="s">
        <v>421</v>
      </c>
    </row>
    <row r="28" spans="1:5" ht="42" customHeight="1" x14ac:dyDescent="0.35">
      <c r="A28" s="60" t="s">
        <v>267</v>
      </c>
      <c r="B28" s="61" t="s">
        <v>418</v>
      </c>
      <c r="C28" s="61" t="s">
        <v>422</v>
      </c>
      <c r="D28" s="56" t="s">
        <v>423</v>
      </c>
      <c r="E28" s="61" t="s">
        <v>424</v>
      </c>
    </row>
    <row r="29" spans="1:5" ht="42" customHeight="1" x14ac:dyDescent="0.35">
      <c r="A29" s="60" t="s">
        <v>425</v>
      </c>
      <c r="B29" s="61" t="s">
        <v>426</v>
      </c>
      <c r="C29" s="61" t="s">
        <v>427</v>
      </c>
      <c r="D29" s="56" t="s">
        <v>428</v>
      </c>
      <c r="E29" s="61" t="s">
        <v>429</v>
      </c>
    </row>
    <row r="30" spans="1:5" ht="19.5" customHeight="1" x14ac:dyDescent="0.35">
      <c r="A30" s="84" t="s">
        <v>430</v>
      </c>
      <c r="B30" s="84"/>
      <c r="C30" s="84"/>
      <c r="D30" s="84"/>
      <c r="E30" s="84"/>
    </row>
    <row r="31" spans="1:5" ht="42" customHeight="1" x14ac:dyDescent="0.35">
      <c r="A31" s="60" t="s">
        <v>431</v>
      </c>
      <c r="B31" s="61" t="s">
        <v>432</v>
      </c>
      <c r="C31" s="61" t="s">
        <v>433</v>
      </c>
      <c r="D31" s="56" t="s">
        <v>434</v>
      </c>
      <c r="E31" s="61" t="s">
        <v>435</v>
      </c>
    </row>
    <row r="32" spans="1:5" ht="42" customHeight="1" x14ac:dyDescent="0.35">
      <c r="A32" s="60" t="s">
        <v>436</v>
      </c>
      <c r="B32" s="61" t="s">
        <v>432</v>
      </c>
      <c r="C32" s="61" t="s">
        <v>437</v>
      </c>
      <c r="D32" s="56" t="s">
        <v>438</v>
      </c>
      <c r="E32" s="61" t="s">
        <v>439</v>
      </c>
    </row>
    <row r="33" spans="1:5" ht="42" customHeight="1" x14ac:dyDescent="0.35">
      <c r="A33" s="60" t="s">
        <v>440</v>
      </c>
      <c r="B33" s="61" t="s">
        <v>441</v>
      </c>
      <c r="C33" s="61" t="s">
        <v>442</v>
      </c>
      <c r="D33" s="56" t="s">
        <v>443</v>
      </c>
      <c r="E33" s="61" t="s">
        <v>444</v>
      </c>
    </row>
    <row r="34" spans="1:5" ht="43.5" customHeight="1" x14ac:dyDescent="0.35">
      <c r="A34" s="85" t="s">
        <v>445</v>
      </c>
      <c r="B34" s="85"/>
      <c r="C34" s="85"/>
      <c r="D34" s="85"/>
      <c r="E34" s="85"/>
    </row>
  </sheetData>
  <mergeCells count="8">
    <mergeCell ref="A26:E26"/>
    <mergeCell ref="A30:E30"/>
    <mergeCell ref="A34:E34"/>
    <mergeCell ref="A1:E1"/>
    <mergeCell ref="A3:E3"/>
    <mergeCell ref="A11:E11"/>
    <mergeCell ref="A16:E16"/>
    <mergeCell ref="A23:E23"/>
  </mergeCells>
  <hyperlinks>
    <hyperlink ref="D4" r:id="rId1" xr:uid="{00000000-0004-0000-0400-000000000000}"/>
    <hyperlink ref="D5" r:id="rId2" xr:uid="{00000000-0004-0000-0400-000001000000}"/>
    <hyperlink ref="D6" r:id="rId3" xr:uid="{00000000-0004-0000-0400-000002000000}"/>
    <hyperlink ref="D7" r:id="rId4" xr:uid="{00000000-0004-0000-0400-000003000000}"/>
    <hyperlink ref="D8" r:id="rId5" xr:uid="{00000000-0004-0000-0400-000004000000}"/>
    <hyperlink ref="D9" r:id="rId6" xr:uid="{00000000-0004-0000-0400-000005000000}"/>
    <hyperlink ref="D10" r:id="rId7" xr:uid="{00000000-0004-0000-0400-000006000000}"/>
    <hyperlink ref="D12" r:id="rId8" xr:uid="{00000000-0004-0000-0400-000007000000}"/>
    <hyperlink ref="D13" r:id="rId9" xr:uid="{00000000-0004-0000-0400-000008000000}"/>
    <hyperlink ref="D14" r:id="rId10" xr:uid="{00000000-0004-0000-0400-000009000000}"/>
    <hyperlink ref="D15" r:id="rId11" xr:uid="{00000000-0004-0000-0400-00000A000000}"/>
    <hyperlink ref="D17" r:id="rId12" xr:uid="{00000000-0004-0000-0400-00000B000000}"/>
    <hyperlink ref="D18" r:id="rId13" xr:uid="{00000000-0004-0000-0400-00000C000000}"/>
    <hyperlink ref="D19" r:id="rId14" xr:uid="{00000000-0004-0000-0400-00000D000000}"/>
    <hyperlink ref="D20" r:id="rId15" xr:uid="{00000000-0004-0000-0400-00000E000000}"/>
    <hyperlink ref="D21" r:id="rId16" xr:uid="{00000000-0004-0000-0400-00000F000000}"/>
    <hyperlink ref="D22" r:id="rId17" xr:uid="{00000000-0004-0000-0400-000010000000}"/>
    <hyperlink ref="D24" r:id="rId18" xr:uid="{00000000-0004-0000-0400-000011000000}"/>
    <hyperlink ref="D25" r:id="rId19" xr:uid="{00000000-0004-0000-0400-000012000000}"/>
    <hyperlink ref="D27" r:id="rId20" xr:uid="{00000000-0004-0000-0400-000013000000}"/>
    <hyperlink ref="D28" r:id="rId21" xr:uid="{00000000-0004-0000-0400-000014000000}"/>
    <hyperlink ref="D29" r:id="rId22" xr:uid="{00000000-0004-0000-0400-000015000000}"/>
    <hyperlink ref="D31" r:id="rId23" xr:uid="{00000000-0004-0000-0400-000016000000}"/>
    <hyperlink ref="D32" r:id="rId24" xr:uid="{00000000-0004-0000-0400-000017000000}"/>
    <hyperlink ref="D33" r:id="rId25" xr:uid="{00000000-0004-0000-0400-000018000000}"/>
  </hyperlinks>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2:B17"/>
  <sheetViews>
    <sheetView showGridLines="0" zoomScaleNormal="100" workbookViewId="0"/>
  </sheetViews>
  <sheetFormatPr baseColWidth="10" defaultColWidth="8.6328125" defaultRowHeight="14.5" x14ac:dyDescent="0.35"/>
  <cols>
    <col min="1" max="1" width="3" style="43" customWidth="1"/>
    <col min="2" max="2" width="110" style="43" customWidth="1"/>
  </cols>
  <sheetData>
    <row r="2" spans="2:2" ht="21.75" customHeight="1" x14ac:dyDescent="0.35">
      <c r="B2" s="62" t="s">
        <v>446</v>
      </c>
    </row>
    <row r="4" spans="2:2" ht="21.75" customHeight="1" x14ac:dyDescent="0.35">
      <c r="B4" s="62" t="s">
        <v>447</v>
      </c>
    </row>
    <row r="5" spans="2:2" ht="111.75" customHeight="1" x14ac:dyDescent="0.35">
      <c r="B5" s="63" t="s">
        <v>448</v>
      </c>
    </row>
    <row r="7" spans="2:2" ht="21.75" customHeight="1" x14ac:dyDescent="0.35">
      <c r="B7" s="62" t="s">
        <v>449</v>
      </c>
    </row>
    <row r="8" spans="2:2" ht="72" customHeight="1" x14ac:dyDescent="0.35">
      <c r="B8" s="63" t="s">
        <v>450</v>
      </c>
    </row>
    <row r="10" spans="2:2" ht="21.75" customHeight="1" x14ac:dyDescent="0.35">
      <c r="B10" s="62" t="s">
        <v>451</v>
      </c>
    </row>
    <row r="11" spans="2:2" ht="121.5" customHeight="1" x14ac:dyDescent="0.35">
      <c r="B11" s="63" t="s">
        <v>452</v>
      </c>
    </row>
    <row r="13" spans="2:2" ht="21.75" customHeight="1" x14ac:dyDescent="0.35">
      <c r="B13" s="62" t="s">
        <v>453</v>
      </c>
    </row>
    <row r="14" spans="2:2" ht="117.75" customHeight="1" x14ac:dyDescent="0.35">
      <c r="B14" s="63" t="s">
        <v>454</v>
      </c>
    </row>
    <row r="16" spans="2:2" ht="21.75" customHeight="1" x14ac:dyDescent="0.35">
      <c r="B16" s="62" t="s">
        <v>455</v>
      </c>
    </row>
    <row r="17" spans="2:2" ht="99.75" customHeight="1" x14ac:dyDescent="0.35">
      <c r="B17" s="63" t="s">
        <v>456</v>
      </c>
    </row>
  </sheetData>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Syllabus DataXperience</vt:lpstr>
      <vt:lpstr>Plan clase a clase</vt:lpstr>
      <vt:lpstr>Rúbricas de evaluación</vt:lpstr>
      <vt:lpstr>Bibliografía y lecturas</vt:lpstr>
      <vt:lpstr>Biblioteca EAN</vt:lpstr>
      <vt:lpstr>Guía para el docente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dc:description/>
  <cp:lastModifiedBy>CAMILA SILVA GOMEZ</cp:lastModifiedBy>
  <cp:revision>0</cp:revision>
  <dcterms:created xsi:type="dcterms:W3CDTF">2025-08-27T15:39:23Z</dcterms:created>
  <dcterms:modified xsi:type="dcterms:W3CDTF">2026-07-21T14:36:37Z</dcterms:modified>
  <dc:language>en-US</dc:language>
</cp:coreProperties>
</file>